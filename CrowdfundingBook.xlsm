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35dcac47b855aff/Desktop/Data_Bootcamp/Module_Challenges/Module 1/Instructions/"/>
    </mc:Choice>
  </mc:AlternateContent>
  <xr:revisionPtr revIDLastSave="316" documentId="8_{CE8179ED-A7DE-4F14-86DE-20FAE81C02AA}" xr6:coauthVersionLast="47" xr6:coauthVersionMax="47" xr10:uidLastSave="{5B5533D2-85F2-4B56-9D35-CF231E11E719}"/>
  <bookViews>
    <workbookView xWindow="-110" yWindow="-110" windowWidth="19420" windowHeight="11500" firstSheet="1" activeTab="1" xr2:uid="{00000000-000D-0000-FFFF-FFFF00000000}"/>
  </bookViews>
  <sheets>
    <sheet name="Crowdfunding" sheetId="1" r:id="rId1"/>
    <sheet name="Status Based on Category" sheetId="7" r:id="rId2"/>
    <sheet name="Status Based on Sub-Category" sheetId="8" r:id="rId3"/>
    <sheet name="Status Based on Date Created" sheetId="13" r:id="rId4"/>
    <sheet name="Bonus " sheetId="14" r:id="rId5"/>
    <sheet name="Bonus (Part 2)" sheetId="17" r:id="rId6"/>
  </sheets>
  <definedNames>
    <definedName name="_xlnm._FilterDatabase" localSheetId="5" hidden="1">'Bonus (Part 2)'!#REF!</definedName>
    <definedName name="_xlnm._FilterDatabase" localSheetId="0" hidden="1">Crowdfunding!$G$1:$H$1001</definedName>
    <definedName name="_xlchart.v1.0" hidden="1">'Bonus (Part 2)'!$B$1</definedName>
    <definedName name="_xlchart.v1.1" hidden="1">'Bonus (Part 2)'!$B$2:$B$1001</definedName>
    <definedName name="_xlchart.v1.2" hidden="1">'Bonus (Part 2)'!$E$1</definedName>
    <definedName name="_xlchart.v1.3" hidden="1">'Bonus (Part 2)'!$E$2:$E$1001</definedName>
    <definedName name="_xlchart.v1.4" hidden="1">'Bonus (Part 2)'!$B$1</definedName>
    <definedName name="_xlchart.v1.5" hidden="1">'Bonus (Part 2)'!$B$2:$B$1001</definedName>
    <definedName name="_xlnm.Criteria" localSheetId="5">'Bonus (Part 2)'!#REF!</definedName>
  </definedNames>
  <calcPr calcId="191029"/>
  <pivotCaches>
    <pivotCache cacheId="0" r:id="rId7"/>
    <pivotCache cacheId="1" r:id="rId8"/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17" l="1"/>
  <c r="J13" i="17"/>
  <c r="J11" i="17"/>
  <c r="J8" i="17"/>
  <c r="J6" i="17"/>
  <c r="J5" i="17"/>
  <c r="I14" i="17"/>
  <c r="I13" i="17"/>
  <c r="I11" i="17"/>
  <c r="I8" i="17"/>
  <c r="I6" i="17"/>
  <c r="I5" i="17"/>
  <c r="H3" i="14"/>
  <c r="H4" i="14"/>
  <c r="H5" i="14"/>
  <c r="H6" i="14"/>
  <c r="H7" i="14"/>
  <c r="H8" i="14"/>
  <c r="H9" i="14"/>
  <c r="H10" i="14"/>
  <c r="H11" i="14"/>
  <c r="H12" i="14"/>
  <c r="H13" i="14"/>
  <c r="H2" i="14"/>
  <c r="G3" i="14"/>
  <c r="G4" i="14"/>
  <c r="G5" i="14"/>
  <c r="G6" i="14"/>
  <c r="G7" i="14"/>
  <c r="G8" i="14"/>
  <c r="G9" i="14"/>
  <c r="G10" i="14"/>
  <c r="G11" i="14"/>
  <c r="G12" i="14"/>
  <c r="G13" i="14"/>
  <c r="G2" i="14"/>
  <c r="F3" i="14"/>
  <c r="F4" i="14"/>
  <c r="F5" i="14"/>
  <c r="F6" i="14"/>
  <c r="F7" i="14"/>
  <c r="F8" i="14"/>
  <c r="F9" i="14"/>
  <c r="F10" i="14"/>
  <c r="F11" i="14"/>
  <c r="F12" i="14"/>
  <c r="F13" i="14"/>
  <c r="F2" i="14"/>
  <c r="E3" i="14"/>
  <c r="E4" i="14"/>
  <c r="E5" i="14"/>
  <c r="E6" i="14"/>
  <c r="E7" i="14"/>
  <c r="E8" i="14"/>
  <c r="E9" i="14"/>
  <c r="E10" i="14"/>
  <c r="E11" i="14"/>
  <c r="E12" i="14"/>
  <c r="E13" i="14"/>
  <c r="E2" i="14"/>
  <c r="C13" i="14"/>
  <c r="C12" i="14"/>
  <c r="C11" i="14"/>
  <c r="C10" i="14"/>
  <c r="C9" i="14"/>
  <c r="C8" i="14"/>
  <c r="C7" i="14"/>
  <c r="C6" i="14"/>
  <c r="C5" i="14"/>
  <c r="D13" i="14"/>
  <c r="D12" i="14"/>
  <c r="D11" i="14"/>
  <c r="D10" i="14"/>
  <c r="D9" i="14"/>
  <c r="D8" i="14"/>
  <c r="D7" i="14"/>
  <c r="D6" i="14"/>
  <c r="D5" i="14"/>
  <c r="D4" i="14"/>
  <c r="D3" i="14"/>
  <c r="D2" i="14"/>
  <c r="C2" i="14"/>
  <c r="C3" i="14"/>
  <c r="C4" i="14"/>
  <c r="B13" i="14"/>
  <c r="B12" i="14"/>
  <c r="B11" i="14"/>
  <c r="B10" i="14"/>
  <c r="B9" i="14"/>
  <c r="B8" i="14"/>
  <c r="B7" i="14"/>
  <c r="B6" i="14"/>
  <c r="B5" i="14"/>
  <c r="B4" i="14"/>
  <c r="B3" i="14"/>
  <c r="B2" i="1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sharedStrings.xml><?xml version="1.0" encoding="utf-8"?>
<sst xmlns="http://schemas.openxmlformats.org/spreadsheetml/2006/main" count="9068" uniqueCount="2123">
  <si>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</si>
  <si>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</si>
  <si>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</si>
  <si>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</si>
  <si>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</si>
  <si>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</si>
  <si>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</si>
  <si>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</si>
  <si>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</si>
  <si>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</si>
  <si>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</si>
  <si>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</si>
  <si>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</si>
  <si>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</si>
  <si>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</si>
  <si>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</si>
  <si>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</si>
  <si>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</si>
  <si>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</si>
  <si>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</si>
  <si>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</si>
  <si>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</si>
  <si>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</si>
  <si>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</si>
  <si>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</si>
  <si>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</si>
  <si>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</si>
  <si>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</si>
  <si>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</si>
  <si>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</si>
  <si>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</si>
  <si>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</si>
  <si>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</si>
  <si>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</si>
  <si>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</si>
  <si>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</si>
  <si>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</si>
  <si>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</si>
  <si>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</si>
  <si>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</si>
  <si>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</si>
  <si>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</si>
  <si>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</si>
  <si>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</si>
  <si>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</si>
  <si>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</si>
  <si>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</si>
  <si>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</si>
  <si>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</si>
  <si>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</si>
  <si>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</si>
  <si>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</si>
  <si>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</si>
  <si>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</si>
  <si>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</si>
  <si>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</si>
  <si>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</si>
  <si>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</si>
  <si>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</si>
  <si>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</si>
  <si>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</si>
  <si>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</si>
  <si>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</si>
  <si>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</si>
  <si>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</si>
  <si>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</si>
  <si>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</si>
  <si>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</si>
  <si>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</si>
  <si>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</si>
  <si>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</si>
  <si>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</si>
  <si>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</si>
  <si>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</si>
  <si>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</si>
  <si>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</si>
  <si>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</si>
  <si>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</si>
  <si>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</si>
  <si>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</si>
  <si>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</si>
  <si>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</si>
  <si>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</si>
  <si>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</si>
  <si>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</si>
  <si>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</si>
  <si>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</si>
  <si>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</si>
  <si>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</si>
  <si>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</si>
  <si>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</si>
  <si>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</si>
  <si>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</si>
  <si>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</si>
  <si>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</si>
  <si>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</si>
  <si>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</si>
  <si>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</si>
  <si>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</si>
  <si>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</si>
  <si>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</si>
  <si>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</si>
  <si>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</si>
  <si>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</si>
  <si>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</si>
  <si>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</si>
  <si>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</si>
  <si>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</si>
  <si>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</si>
  <si>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</si>
  <si>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</si>
  <si>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</si>
  <si>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</si>
  <si>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</si>
  <si>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</si>
  <si>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</si>
  <si>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</si>
  <si>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</si>
  <si>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</si>
  <si>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</si>
  <si>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</si>
  <si>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</si>
  <si>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</si>
  <si>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</si>
  <si>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</si>
  <si>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</si>
  <si>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</si>
  <si>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</si>
  <si>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</si>
  <si>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</si>
  <si>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</si>
  <si>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</si>
  <si>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</si>
  <si>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</si>
  <si>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</si>
  <si>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</si>
  <si>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</si>
  <si>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</si>
  <si>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</si>
  <si>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</si>
  <si>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</si>
  <si>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</si>
  <si>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</si>
  <si>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</si>
  <si>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</si>
  <si>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</si>
  <si>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</si>
  <si>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</si>
  <si>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</si>
  <si>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</si>
  <si>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</si>
  <si>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</si>
  <si>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</si>
  <si>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</si>
  <si>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</si>
  <si>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</si>
  <si>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</si>
  <si>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</si>
  <si>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</si>
  <si>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</si>
  <si>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</si>
  <si>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</si>
  <si>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</si>
  <si>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</si>
  <si>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</si>
  <si>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</si>
  <si>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</si>
  <si>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</si>
  <si>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</si>
  <si>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</si>
  <si>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</si>
  <si>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</si>
  <si>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</si>
  <si>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</si>
  <si>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</si>
  <si>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</si>
  <si>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</si>
  <si>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</si>
  <si>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</si>
  <si>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</si>
  <si>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</si>
  <si>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</si>
  <si>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</si>
  <si>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</si>
  <si>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</si>
  <si>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</si>
  <si>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</si>
  <si>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</si>
  <si>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</si>
  <si>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</si>
  <si>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</si>
  <si>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</si>
  <si>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</si>
  <si>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</si>
  <si>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</si>
  <si>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</si>
  <si>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</si>
  <si>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</si>
  <si>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</si>
  <si>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</si>
  <si>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</si>
  <si>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</si>
  <si>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</si>
  <si>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</si>
  <si>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</si>
  <si>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</si>
  <si>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</si>
  <si>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</si>
  <si>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</si>
  <si>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</si>
  <si>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</si>
  <si>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</si>
  <si>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</si>
  <si>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</si>
  <si>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</si>
  <si>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</si>
  <si>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</si>
  <si>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</si>
  <si>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</si>
  <si>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</si>
  <si>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</si>
  <si>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</si>
  <si>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</si>
  <si>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</si>
  <si>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</si>
  <si>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</si>
  <si>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</si>
  <si>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</si>
  <si>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</si>
  <si>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</si>
  <si>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</si>
  <si>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</si>
  <si>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</si>
  <si>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</si>
  <si>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</si>
  <si>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</si>
  <si>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</si>
  <si>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</si>
  <si>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</si>
  <si>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</si>
  <si>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</si>
  <si>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</si>
  <si>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</si>
  <si>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</si>
  <si>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</si>
  <si>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</si>
  <si>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</si>
  <si>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</si>
  <si>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</si>
  <si>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</si>
  <si>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</si>
  <si>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</si>
  <si>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</si>
  <si>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</si>
  <si>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</si>
  <si>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</si>
  <si>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</si>
  <si>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</si>
  <si>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</si>
  <si>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</si>
  <si>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</si>
  <si>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</si>
  <si>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</si>
  <si>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</si>
  <si>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</si>
  <si>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</si>
  <si>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</si>
  <si>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</si>
  <si>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</si>
  <si>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</si>
  <si>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</si>
  <si>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</si>
  <si>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</si>
  <si>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</si>
  <si>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</si>
  <si>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</si>
  <si>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</si>
  <si>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</si>
  <si>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</si>
  <si>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</si>
  <si>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</si>
  <si>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</si>
  <si>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</si>
  <si>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</si>
  <si>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</si>
  <si>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</si>
  <si>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</si>
  <si>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</si>
  <si>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</si>
  <si>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</si>
  <si>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</si>
  <si>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</si>
  <si>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</si>
  <si>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</si>
  <si>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</si>
  <si>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</si>
  <si>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</si>
  <si>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</si>
  <si>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</si>
  <si>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</si>
  <si>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</si>
  <si>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</si>
  <si>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</si>
  <si>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</si>
  <si>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</si>
  <si>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</si>
  <si>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</si>
  <si>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</si>
  <si>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</si>
  <si>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</si>
  <si>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</si>
  <si>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</si>
  <si>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</si>
  <si>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</si>
  <si>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</si>
  <si>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</si>
  <si>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</si>
  <si>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</si>
  <si>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</si>
  <si>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</si>
  <si>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</si>
  <si>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</si>
  <si>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</si>
  <si>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</si>
  <si>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</si>
  <si>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</si>
  <si>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</si>
  <si>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</si>
  <si>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</si>
  <si>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</si>
  <si>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</si>
  <si>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</si>
  <si>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</si>
  <si>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</si>
  <si>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</si>
  <si>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</si>
  <si>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</si>
  <si>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</si>
  <si>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</si>
  <si>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</si>
  <si>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</si>
  <si>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</si>
  <si>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</si>
  <si>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</si>
  <si>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</si>
  <si>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</si>
  <si>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</si>
  <si>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</si>
  <si>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</si>
  <si>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</si>
  <si>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</si>
  <si>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</si>
  <si>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</si>
  <si>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</si>
  <si>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</si>
  <si>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</si>
  <si>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</si>
  <si>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</si>
  <si>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</si>
  <si>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</si>
  <si>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</si>
  <si>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</si>
  <si>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</si>
  <si>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</si>
  <si>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</si>
  <si>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</si>
  <si>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</si>
  <si>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</si>
  <si>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</si>
  <si>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</si>
  <si>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</si>
  <si>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</si>
  <si>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</si>
  <si>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</si>
  <si>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</si>
  <si>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</si>
  <si>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</si>
  <si>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</si>
  <si>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</si>
  <si>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</si>
  <si>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</si>
  <si>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</si>
  <si>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</si>
  <si>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</si>
  <si>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</si>
  <si>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</si>
  <si>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</si>
  <si>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</si>
  <si>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</si>
  <si>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</si>
  <si>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</si>
  <si>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</si>
  <si>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</si>
  <si>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</si>
  <si>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</si>
  <si>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</si>
  <si>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</si>
  <si>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</si>
  <si>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</si>
  <si>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</si>
  <si>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</si>
  <si>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</si>
  <si>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</si>
  <si>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</si>
  <si>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</si>
  <si>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</si>
  <si>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</si>
  <si>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</si>
  <si>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</si>
  <si>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</si>
  <si>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</si>
  <si>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</si>
  <si>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</si>
  <si>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</si>
  <si>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</si>
  <si>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</si>
  <si>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</si>
  <si>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</si>
  <si>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</si>
  <si>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</si>
  <si>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</si>
  <si>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</si>
  <si>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</si>
  <si>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</si>
  <si>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</si>
  <si>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</si>
  <si>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</si>
  <si>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</si>
  <si>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</si>
  <si>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</si>
  <si>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</si>
  <si>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</si>
  <si>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</si>
  <si>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</si>
  <si>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</si>
  <si>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</si>
  <si>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</si>
  <si>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</si>
  <si>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</si>
  <si>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</si>
  <si>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</si>
  <si>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</si>
  <si>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</si>
  <si>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</si>
  <si>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</si>
  <si>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</si>
  <si>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</si>
  <si>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</si>
  <si>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</si>
  <si>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</si>
  <si>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</si>
  <si>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</si>
  <si>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</si>
  <si>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</si>
  <si>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</si>
  <si>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</si>
  <si>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</si>
  <si>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</si>
  <si>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</si>
  <si>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</si>
  <si>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</si>
  <si>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</si>
  <si>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</si>
  <si>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</si>
  <si>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</si>
  <si>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</si>
  <si>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</si>
  <si>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</si>
  <si>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</si>
  <si>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</si>
  <si>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</si>
  <si>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</si>
  <si>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</si>
  <si>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</si>
  <si>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</si>
  <si>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</si>
  <si>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</si>
  <si>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</si>
  <si>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</si>
  <si>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</si>
  <si>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</si>
  <si>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</si>
  <si>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</si>
  <si>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</si>
  <si>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</si>
  <si>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</si>
  <si>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</si>
  <si>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</si>
  <si>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</si>
  <si>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</si>
  <si>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</si>
  <si>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</si>
  <si>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</si>
  <si>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</si>
  <si>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</si>
  <si>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</si>
  <si>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</si>
  <si>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</si>
  <si>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</si>
  <si>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</si>
  <si>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</si>
  <si>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</si>
  <si>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</si>
  <si>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</si>
  <si>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</si>
  <si>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</si>
  <si>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</si>
  <si>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</si>
  <si>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</si>
  <si>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</si>
  <si>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</si>
  <si>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</si>
  <si>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</si>
  <si>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</si>
  <si>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</si>
  <si>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</si>
  <si>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</si>
  <si>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</si>
  <si>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</si>
  <si>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</si>
  <si>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</si>
  <si>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</si>
  <si>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</si>
  <si>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</si>
  <si>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</si>
  <si>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</si>
  <si>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</si>
  <si>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</si>
  <si>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</si>
  <si>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</si>
  <si>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</si>
  <si>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</si>
  <si>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</si>
  <si>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</si>
  <si>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</si>
  <si>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</si>
  <si>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</si>
  <si>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</si>
  <si>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</si>
  <si>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</si>
  <si>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</si>
  <si>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</si>
  <si>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</si>
  <si>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</si>
  <si>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</si>
  <si>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</si>
  <si>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</si>
  <si>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</si>
  <si>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</si>
  <si>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</si>
  <si>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</si>
  <si>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</si>
  <si>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</si>
  <si>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</si>
  <si>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</si>
  <si>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</si>
  <si>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</si>
  <si>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</si>
  <si>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</si>
  <si>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</si>
  <si>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</si>
  <si>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</si>
  <si>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</si>
  <si>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</si>
  <si>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</si>
  <si>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</si>
  <si>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</si>
  <si>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</si>
  <si>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</si>
  <si>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</si>
  <si>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</si>
  <si>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</si>
  <si>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</si>
  <si>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</si>
  <si>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</si>
  <si>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</si>
  <si>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</si>
  <si>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</si>
  <si>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</si>
  <si>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</si>
  <si>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</si>
  <si>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</si>
  <si>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</si>
  <si>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</si>
  <si>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</si>
  <si>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</si>
  <si>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</si>
  <si>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</si>
  <si>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</si>
  <si>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</si>
  <si>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</si>
  <si>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</si>
  <si>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</si>
  <si>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</si>
  <si>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</si>
  <si>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</si>
  <si>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</si>
  <si>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</si>
  <si>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</si>
  <si>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</si>
  <si>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</si>
  <si>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</si>
  <si>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</si>
  <si>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</si>
  <si>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</si>
  <si>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</si>
  <si>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</si>
  <si>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</si>
  <si>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</si>
  <si>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</si>
  <si>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</si>
  <si>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</si>
  <si>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</si>
  <si>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</si>
  <si>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</si>
  <si>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</si>
  <si>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</si>
  <si>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</si>
  <si>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</si>
  <si>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</si>
  <si>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</si>
  <si>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</si>
  <si>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</si>
  <si>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</si>
  <si>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</si>
  <si>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</si>
  <si>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</si>
  <si>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</si>
  <si>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</si>
  <si>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</si>
  <si>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</si>
  <si>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</si>
  <si>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</si>
  <si>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</si>
  <si>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</si>
  <si>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</si>
  <si>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</si>
  <si>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</si>
  <si>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</si>
  <si>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</si>
  <si>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</si>
  <si>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</si>
  <si>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</si>
  <si>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</si>
  <si>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</si>
  <si>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</si>
  <si>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</si>
  <si>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</si>
  <si>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</si>
  <si>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</si>
  <si>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</si>
  <si>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</si>
  <si>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</si>
  <si>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</si>
  <si>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</si>
  <si>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</si>
  <si>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</si>
  <si>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</si>
  <si>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</si>
  <si>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</si>
  <si>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</si>
  <si>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</si>
  <si>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</si>
  <si>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</si>
  <si>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</si>
  <si>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</si>
  <si>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</si>
  <si>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</si>
  <si>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</si>
  <si>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</si>
  <si>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</si>
  <si>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</si>
  <si>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</si>
  <si>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</si>
  <si>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</si>
  <si>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</si>
  <si>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</si>
  <si>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</si>
  <si>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</si>
  <si>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</si>
  <si>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</si>
  <si>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</si>
  <si>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</si>
  <si>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</si>
  <si>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</si>
  <si>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</si>
  <si>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</si>
  <si>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</si>
  <si>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</si>
  <si>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</si>
  <si>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</si>
  <si>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</si>
  <si>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</si>
  <si>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</si>
  <si>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</si>
  <si>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</si>
  <si>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</si>
  <si>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</si>
  <si>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</si>
  <si>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</si>
  <si>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</si>
  <si>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</si>
  <si>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</si>
  <si>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</si>
  <si>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</si>
  <si>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</si>
  <si>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</si>
  <si>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</si>
  <si>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</si>
  <si>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</si>
  <si>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</si>
  <si>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</si>
  <si>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</si>
  <si>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</si>
  <si>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</si>
  <si>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</si>
  <si>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</si>
  <si>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</si>
  <si>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</si>
  <si>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</si>
  <si>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</si>
  <si>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</si>
  <si>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</si>
  <si>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</si>
  <si>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</si>
  <si>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</si>
  <si>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</si>
  <si>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</si>
  <si>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</si>
  <si>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</si>
  <si>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</si>
  <si>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</si>
  <si>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</si>
  <si>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</si>
  <si>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</si>
  <si>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</si>
  <si>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</si>
  <si>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</si>
  <si>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</si>
  <si>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</si>
  <si>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</si>
  <si>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</si>
  <si>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</si>
  <si>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</si>
  <si>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</si>
  <si>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</si>
  <si>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</si>
  <si>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</si>
  <si>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</si>
  <si>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</si>
  <si>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</si>
  <si>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</si>
  <si>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</si>
  <si>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</si>
  <si>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</si>
  <si>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</si>
  <si>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</si>
  <si>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</si>
  <si>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</si>
  <si>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</si>
  <si>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</si>
  <si>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</si>
  <si>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</si>
  <si>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</si>
  <si>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</si>
  <si>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</si>
  <si>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</si>
  <si>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</si>
  <si>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</si>
  <si>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</si>
  <si>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</si>
  <si>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</si>
  <si>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</si>
  <si>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</si>
  <si>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</si>
  <si>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</si>
  <si>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</si>
  <si>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</si>
  <si>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</si>
  <si>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</si>
  <si>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</si>
  <si>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</si>
  <si>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</si>
  <si>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</si>
  <si>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</si>
  <si>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</si>
  <si>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</si>
  <si>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</si>
  <si>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</si>
  <si>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</si>
  <si>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</si>
  <si>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</si>
  <si>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</si>
  <si>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</si>
  <si>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</si>
  <si>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</si>
  <si>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</si>
  <si>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</si>
  <si>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</si>
  <si>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</si>
  <si>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</si>
  <si>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</si>
  <si>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</si>
  <si>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</si>
  <si>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</si>
  <si>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</si>
  <si>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</si>
  <si>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</si>
  <si>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</si>
  <si>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</si>
  <si>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</si>
  <si>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</si>
  <si>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</si>
  <si>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</si>
  <si>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</si>
  <si>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</si>
  <si>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</si>
  <si>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</si>
  <si>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</si>
  <si>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</si>
  <si>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</si>
  <si>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</si>
  <si>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</si>
  <si>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</si>
  <si>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</si>
  <si>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</si>
  <si>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</si>
  <si>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</si>
  <si>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</si>
  <si>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</si>
  <si>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</si>
  <si>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</si>
  <si>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</si>
  <si>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</si>
  <si>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</si>
  <si>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</si>
  <si>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</si>
  <si>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</si>
  <si>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</si>
  <si>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</si>
  <si>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</si>
  <si>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</si>
  <si>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</si>
  <si>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</si>
  <si>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</si>
  <si>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</si>
  <si>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</si>
  <si>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</si>
  <si>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</si>
  <si>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</si>
  <si>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</si>
  <si>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</si>
  <si>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</si>
  <si>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</si>
  <si>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</si>
  <si>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</si>
  <si>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</si>
  <si>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</si>
  <si>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</si>
  <si>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</si>
  <si>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</si>
  <si>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</si>
  <si>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</si>
  <si>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</si>
  <si>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</si>
  <si>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</si>
  <si>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</si>
  <si>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</si>
  <si>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</si>
  <si>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</si>
  <si>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</si>
  <si>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</si>
  <si>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</si>
  <si>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</si>
  <si>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</si>
  <si>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</si>
  <si>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</si>
  <si>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</si>
  <si>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</si>
  <si>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</si>
  <si>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</si>
  <si>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</si>
  <si>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</si>
  <si>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</si>
  <si>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</si>
  <si>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</si>
  <si>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</si>
  <si>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</si>
  <si>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</si>
  <si>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</si>
  <si>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</si>
  <si>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</si>
  <si>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</si>
  <si>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</si>
  <si>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</si>
  <si>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</si>
  <si>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</si>
  <si>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</si>
  <si>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</si>
  <si>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</si>
  <si>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</si>
  <si>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</si>
  <si>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</si>
  <si>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</si>
  <si>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</si>
  <si>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</si>
  <si>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</si>
  <si>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</si>
  <si>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</si>
  <si>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</si>
  <si>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</si>
  <si>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</si>
  <si>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</si>
  <si>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</si>
  <si>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</si>
  <si>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</si>
  <si>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</si>
  <si>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</si>
  <si>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</si>
  <si>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</si>
  <si>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</si>
  <si>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</si>
  <si>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</si>
  <si>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</si>
  <si>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</si>
  <si>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</si>
  <si>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</si>
  <si>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</si>
  <si>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</si>
  <si>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</si>
  <si>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</si>
  <si>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</si>
  <si>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</si>
  <si>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</si>
  <si>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</si>
  <si>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</si>
  <si>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</si>
  <si>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</si>
  <si>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</si>
  <si>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</si>
  <si>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</si>
  <si>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</si>
  <si>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</si>
  <si>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</si>
  <si>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</si>
  <si>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</si>
  <si>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</si>
  <si>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</si>
  <si>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</si>
  <si>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</si>
  <si>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</si>
  <si>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</si>
  <si>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</si>
  <si>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</si>
  <si>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</si>
  <si>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</si>
  <si>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</si>
  <si>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</si>
  <si>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</si>
  <si>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</si>
  <si>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</si>
  <si>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</si>
  <si>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</si>
  <si>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</si>
  <si>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</si>
  <si>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</si>
  <si>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</si>
  <si>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</si>
  <si>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</si>
  <si>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</si>
  <si>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</si>
  <si>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</si>
  <si>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</si>
  <si>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</si>
  <si>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</si>
  <si>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</si>
  <si>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</si>
  <si>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</si>
  <si>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</si>
  <si>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</si>
  <si>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</si>
  <si>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</si>
  <si>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</si>
  <si>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</si>
  <si>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</si>
  <si>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</si>
  <si>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</si>
  <si>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</si>
  <si>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</si>
  <si>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</si>
  <si>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</si>
  <si>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</si>
  <si>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</si>
  <si>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</si>
  <si>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</si>
  <si>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</si>
  <si>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</si>
  <si>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</si>
  <si>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</si>
  <si>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</si>
  <si>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</si>
  <si>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</si>
  <si>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</si>
  <si>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</si>
  <si>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</si>
  <si>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</si>
  <si>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</si>
  <si>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</si>
  <si>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</si>
  <si>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</si>
  <si>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</si>
  <si>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</si>
  <si>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</si>
  <si>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</si>
  <si>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</si>
  <si>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</si>
  <si>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</si>
  <si>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</si>
  <si>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</si>
  <si>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</si>
  <si>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</si>
  <si>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</si>
  <si>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</si>
  <si>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</si>
  <si>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</si>
  <si>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</si>
  <si>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</si>
  <si>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</si>
  <si>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</si>
  <si>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</si>
  <si>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</si>
  <si>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</si>
  <si>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</si>
  <si>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</si>
  <si>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</si>
  <si>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</si>
  <si>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</si>
  <si>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</si>
  <si>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</si>
  <si>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</si>
  <si>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</si>
  <si>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</si>
  <si>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</si>
  <si>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</si>
  <si>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</si>
  <si>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</si>
  <si>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</si>
  <si>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</si>
  <si>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</si>
  <si>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</si>
  <si>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</si>
  <si>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</si>
  <si>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</si>
  <si>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</si>
  <si>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</si>
  <si>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</si>
  <si>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</si>
  <si>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</si>
  <si>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</si>
  <si>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</si>
  <si>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</si>
  <si>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</si>
  <si>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</si>
  <si>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</si>
  <si>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</si>
  <si>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</si>
  <si>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</si>
  <si>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</si>
  <si>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</si>
  <si>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</si>
  <si>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</si>
  <si>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</si>
  <si>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</si>
  <si>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</si>
  <si>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</si>
  <si>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</si>
  <si>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</si>
  <si>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</si>
  <si>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</si>
  <si>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</si>
  <si>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</si>
  <si>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</si>
  <si>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</si>
  <si>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</si>
  <si>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</si>
  <si>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</si>
  <si>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</si>
  <si>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</si>
  <si>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</si>
  <si>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</si>
  <si>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</si>
  <si>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</si>
  <si>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</si>
  <si>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</si>
  <si>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</si>
  <si>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</si>
  <si>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</si>
  <si>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</si>
  <si>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</si>
  <si>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</si>
  <si>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</si>
  <si>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</si>
  <si>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</si>
  <si>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</si>
  <si>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</si>
  <si>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</si>
  <si>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</si>
  <si>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</si>
  <si>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</si>
  <si>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</si>
  <si>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</si>
  <si>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</si>
  <si>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</si>
  <si>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</si>
  <si>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</si>
  <si>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</si>
  <si>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</si>
  <si>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</si>
  <si>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</si>
  <si>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</si>
  <si>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</si>
  <si>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</si>
  <si>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</si>
  <si>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</si>
  <si>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</si>
  <si>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</si>
  <si>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</si>
  <si>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</si>
  <si>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</si>
  <si>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</si>
  <si>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</si>
  <si>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</si>
  <si>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</si>
  <si>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</si>
  <si>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</si>
  <si>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</si>
  <si>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</si>
  <si>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</si>
  <si>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</si>
  <si>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</si>
  <si>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</si>
  <si>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</si>
  <si>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</si>
  <si>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</si>
  <si>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</si>
  <si>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</si>
  <si>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</si>
  <si>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</si>
  <si>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</si>
  <si>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</si>
  <si>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</si>
  <si>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</si>
  <si>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</si>
  <si>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</si>
  <si>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</si>
  <si>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</si>
  <si>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</si>
  <si>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</si>
  <si>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</si>
  <si>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</si>
  <si>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</si>
  <si>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</si>
  <si>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</si>
  <si>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</si>
  <si>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</si>
  <si>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</si>
  <si>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</si>
  <si>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</si>
  <si>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</si>
  <si>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</si>
  <si>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</si>
  <si>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</si>
  <si>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</si>
  <si>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</si>
  <si>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</si>
  <si>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</si>
  <si>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</si>
  <si>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</si>
  <si>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</si>
  <si>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</si>
  <si>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</si>
  <si>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</si>
  <si>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</si>
  <si>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</si>
  <si>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</si>
  <si>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</si>
  <si>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</si>
  <si>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</si>
  <si>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</si>
  <si>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</si>
  <si>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</si>
  <si>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</si>
  <si>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</si>
  <si>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</si>
  <si>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</si>
  <si>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</si>
  <si>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</si>
  <si>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</si>
  <si>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</si>
  <si>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</si>
  <si>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</si>
  <si>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</si>
  <si>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</si>
  <si>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</si>
  <si>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</si>
  <si>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</si>
  <si>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</si>
  <si>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</si>
  <si>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</si>
  <si>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</si>
  <si>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</si>
  <si>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</si>
  <si>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</si>
  <si>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</si>
  <si>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</si>
  <si>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</si>
  <si>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</si>
  <si>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</si>
  <si>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</si>
  <si>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</si>
  <si>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</si>
  <si>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</si>
  <si>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</si>
  <si>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</si>
  <si>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</si>
  <si>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</si>
  <si>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</si>
  <si>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</si>
  <si>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</si>
  <si>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</si>
  <si>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</si>
  <si>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</si>
  <si>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</si>
  <si>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</si>
  <si>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</si>
  <si>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</si>
  <si>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</si>
  <si>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</si>
  <si>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</si>
  <si>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</si>
  <si>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</si>
  <si>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</si>
  <si>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</si>
  <si>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</si>
  <si>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</si>
  <si>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</si>
  <si>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</si>
  <si>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</si>
  <si>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</si>
  <si>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</si>
  <si>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</si>
  <si>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</si>
  <si>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</si>
  <si>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</si>
  <si>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</si>
  <si>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</si>
  <si>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</si>
  <si>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</si>
  <si>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</si>
  <si>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</si>
  <si>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</si>
  <si>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</si>
  <si>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</si>
  <si>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</si>
  <si>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</si>
  <si>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</si>
  <si>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</si>
  <si>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</si>
  <si>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</si>
  <si>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</si>
  <si>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</si>
  <si>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</si>
  <si>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</si>
  <si>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</si>
  <si>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</si>
  <si>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</si>
  <si>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</si>
  <si>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</si>
  <si>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</si>
  <si>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</si>
  <si>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</si>
  <si>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</si>
  <si>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</si>
  <si>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</si>
  <si>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</si>
  <si>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</si>
  <si>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</si>
  <si>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</si>
  <si>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</si>
  <si>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</si>
  <si>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</si>
  <si>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</si>
  <si>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</si>
  <si>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</si>
  <si>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</si>
  <si>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</si>
  <si>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</si>
  <si>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</si>
  <si>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</si>
  <si>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</si>
  <si>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</si>
  <si>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</si>
  <si>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</si>
  <si>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</si>
  <si>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</si>
  <si>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</si>
  <si>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</si>
  <si>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</si>
  <si>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</si>
  <si>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</si>
  <si>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</si>
  <si>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</si>
  <si>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</si>
  <si>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</si>
  <si>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</si>
  <si>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</si>
  <si>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</si>
  <si>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</si>
  <si>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</si>
  <si>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</si>
  <si>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</si>
  <si>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</si>
  <si>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</si>
  <si>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</si>
  <si>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</si>
  <si>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</si>
  <si>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</si>
  <si>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</si>
  <si>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</si>
  <si>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</si>
  <si>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</si>
  <si>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</si>
  <si>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</si>
  <si>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</si>
  <si>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</si>
  <si>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</si>
  <si>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</si>
  <si>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</si>
  <si>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</si>
  <si>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</si>
  <si>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</si>
  <si>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</si>
  <si>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</si>
  <si>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</si>
  <si>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</si>
  <si>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</si>
  <si>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</si>
  <si>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</si>
  <si>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</si>
  <si>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</si>
  <si>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</si>
  <si>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</si>
  <si>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</si>
  <si>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</si>
  <si>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</si>
  <si>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</si>
  <si>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</si>
  <si>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</si>
  <si>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</si>
  <si>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</si>
  <si>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</si>
  <si>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</si>
  <si>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</si>
  <si>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</si>
  <si>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</si>
  <si>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</si>
  <si>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</si>
  <si>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</si>
  <si>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</si>
  <si>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</si>
  <si>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</si>
  <si>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</si>
  <si>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</si>
  <si>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</si>
  <si>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</si>
  <si>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</si>
  <si>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</si>
  <si>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</si>
  <si>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</si>
  <si>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</si>
  <si>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</si>
  <si>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</si>
  <si>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</si>
  <si>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</si>
  <si>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</si>
  <si>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</si>
  <si>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</si>
  <si>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</si>
  <si>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</si>
  <si>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</si>
  <si>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</si>
  <si>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</si>
  <si>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</si>
  <si>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</si>
  <si>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</si>
  <si>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</si>
  <si>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</si>
  <si>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</si>
  <si>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</si>
  <si>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</si>
  <si>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</si>
  <si>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</si>
  <si>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</si>
  <si>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</si>
  <si>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</si>
  <si>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</si>
  <si>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</si>
  <si>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</si>
  <si>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</si>
  <si>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</si>
  <si>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</si>
  <si>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</si>
  <si>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</si>
  <si>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</si>
  <si>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</si>
  <si>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</si>
  <si>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</si>
  <si>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</si>
  <si>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</si>
  <si>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</si>
  <si>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</si>
  <si>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</si>
  <si>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</si>
  <si>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</si>
  <si>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</si>
  <si>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</si>
  <si>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</si>
  <si>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</si>
  <si>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</si>
  <si>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</si>
  <si>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</si>
  <si>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</si>
  <si>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</si>
  <si>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</si>
  <si>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</si>
  <si>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</si>
  <si>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</si>
  <si>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</si>
  <si>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</si>
  <si>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</si>
  <si>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</si>
  <si>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</si>
  <si>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</si>
  <si>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</si>
  <si>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</si>
  <si>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</si>
  <si>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</si>
  <si>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</si>
  <si>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</si>
  <si>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</si>
  <si>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</si>
  <si>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</si>
  <si>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</si>
  <si>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</si>
  <si>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</si>
  <si>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</si>
  <si>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</si>
  <si>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</si>
  <si>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</si>
  <si>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</si>
  <si>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</si>
  <si>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</si>
  <si>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</si>
  <si>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</si>
  <si>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</si>
  <si>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</si>
  <si>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</si>
  <si>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</si>
  <si>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</si>
  <si>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</si>
  <si>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</si>
  <si>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</si>
  <si>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</si>
  <si>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</si>
  <si>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</si>
  <si>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</si>
  <si>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</si>
  <si>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</si>
  <si>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</si>
  <si>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</si>
  <si>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</si>
  <si>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</si>
  <si>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</si>
  <si>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</si>
  <si>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</si>
  <si>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</si>
  <si>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</si>
  <si>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</si>
  <si>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</si>
  <si>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</si>
  <si>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</si>
  <si>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</si>
  <si>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</si>
  <si>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</si>
  <si>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</si>
  <si>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</si>
  <si>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</si>
  <si>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</si>
  <si>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</si>
  <si>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</si>
  <si>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</si>
  <si>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</si>
  <si>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</si>
  <si>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</si>
  <si>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</si>
  <si>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</si>
  <si>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</si>
  <si>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</si>
  <si>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</si>
  <si>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</si>
  <si>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</si>
  <si>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</si>
  <si>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</si>
  <si>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</si>
  <si>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</si>
  <si>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</si>
  <si>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</si>
  <si>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</si>
  <si>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</si>
  <si>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</si>
  <si>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</si>
  <si>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</si>
  <si>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</si>
  <si>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</si>
  <si>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</si>
  <si>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</si>
  <si>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</si>
  <si>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</si>
  <si>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</si>
  <si>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</si>
  <si>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</si>
  <si>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</si>
  <si>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</si>
  <si>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</si>
  <si>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</si>
  <si>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</si>
  <si>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</si>
  <si>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</si>
  <si>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</si>
  <si>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</si>
  <si>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</si>
  <si>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</si>
  <si>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</si>
  <si>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</si>
  <si>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</si>
  <si>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</si>
  <si>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</si>
  <si>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</si>
  <si>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</si>
  <si>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</si>
  <si>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</si>
  <si>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</si>
  <si>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</si>
  <si>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</si>
  <si>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</si>
  <si>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</si>
  <si>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</si>
  <si>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</si>
  <si>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</si>
  <si>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</si>
  <si>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</si>
  <si>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</si>
  <si>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</si>
  <si>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</si>
  <si>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</si>
  <si>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</si>
  <si>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</si>
  <si>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</si>
  <si>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</si>
  <si>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</si>
  <si>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</si>
  <si>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</si>
  <si>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</si>
  <si>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</si>
  <si>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</si>
  <si>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</si>
  <si>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</si>
  <si>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</si>
  <si>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</si>
  <si>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</si>
  <si>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</si>
  <si>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</si>
  <si>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</si>
  <si>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</si>
  <si>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</si>
  <si>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</si>
  <si>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</si>
  <si>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</si>
  <si>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</si>
  <si>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</si>
  <si>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</si>
  <si>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</si>
  <si>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</si>
  <si>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</si>
  <si>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</si>
  <si>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</si>
  <si>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</si>
  <si>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</si>
  <si>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</si>
  <si>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</si>
  <si>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</si>
  <si>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</si>
  <si>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</si>
  <si>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</si>
  <si>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</si>
  <si>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</si>
  <si>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</si>
  <si>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</si>
  <si>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</si>
  <si>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</si>
  <si>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</si>
  <si>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</si>
  <si>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</si>
  <si>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</si>
  <si>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</si>
  <si>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</si>
  <si>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</si>
  <si>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</si>
  <si>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</si>
  <si>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</si>
  <si>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</si>
  <si>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</si>
  <si>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</si>
  <si>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</si>
  <si>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</si>
  <si>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</si>
  <si>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</si>
  <si>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</si>
  <si>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</si>
  <si>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</si>
  <si>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</si>
  <si>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</si>
  <si>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</si>
  <si>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</si>
  <si>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</si>
  <si>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</si>
  <si>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</si>
  <si>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</si>
  <si>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</si>
  <si>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</si>
  <si>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</si>
  <si>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</si>
  <si>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</si>
  <si>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</si>
  <si>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</si>
  <si>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</si>
  <si>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</si>
  <si>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</si>
  <si>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</si>
  <si>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</si>
  <si>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</si>
  <si>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</si>
  <si>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</si>
  <si>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</si>
  <si>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</si>
  <si>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</si>
  <si>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</si>
  <si>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</si>
  <si>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</si>
  <si>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</si>
  <si>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</si>
  <si>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</si>
  <si>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</si>
  <si>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</si>
  <si>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</si>
  <si>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</si>
  <si>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</si>
  <si>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</si>
  <si>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</si>
  <si>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</si>
  <si>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</si>
  <si>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</si>
  <si>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</si>
  <si>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</si>
  <si>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</si>
  <si>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</si>
  <si>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</si>
  <si>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</si>
  <si>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</si>
  <si>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</si>
  <si>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</si>
  <si>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</si>
  <si>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</si>
  <si>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</si>
  <si>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</si>
  <si>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</si>
  <si>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</si>
  <si>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</si>
  <si>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</si>
  <si>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</si>
  <si>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</si>
  <si>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</si>
  <si>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</si>
  <si>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</si>
  <si>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</si>
  <si>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</si>
  <si>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</si>
  <si>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</si>
  <si>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</si>
  <si>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</si>
  <si>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</si>
  <si>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</si>
  <si>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</si>
  <si>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</si>
  <si>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</si>
  <si>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</si>
  <si>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</si>
  <si>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</si>
  <si>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</si>
  <si>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</si>
  <si>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</si>
  <si>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</si>
  <si>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</si>
  <si>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</si>
  <si>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</si>
  <si>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</si>
  <si>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</si>
  <si>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</si>
  <si>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</si>
  <si>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</si>
  <si>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</si>
  <si>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</si>
  <si>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</si>
  <si>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</si>
  <si>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</si>
  <si>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</si>
  <si>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</si>
  <si>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</si>
  <si>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</si>
  <si>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</si>
  <si>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</si>
  <si>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</si>
  <si>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</si>
  <si>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</si>
  <si>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</si>
  <si>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</si>
  <si>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</si>
  <si>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</si>
  <si>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</si>
  <si>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</si>
  <si>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</si>
  <si>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</si>
  <si>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</si>
  <si>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</si>
  <si>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</si>
  <si>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</si>
  <si>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</si>
  <si>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</si>
  <si>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</si>
  <si>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</si>
  <si>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</si>
  <si>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</si>
  <si>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</si>
  <si>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</si>
  <si>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</si>
  <si>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</si>
  <si>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</si>
  <si>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</si>
  <si>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</si>
  <si>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</si>
  <si>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</si>
  <si>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</si>
  <si>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</si>
  <si>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</si>
  <si>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</si>
  <si>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</si>
  <si>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</si>
  <si>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</si>
  <si>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</si>
  <si>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</si>
  <si>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</si>
  <si>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</si>
  <si>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</si>
  <si>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</si>
  <si>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</si>
  <si>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</si>
  <si>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</si>
  <si>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</si>
  <si>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</si>
  <si>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</si>
  <si>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</si>
  <si>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</si>
  <si>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</si>
  <si>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</si>
  <si>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</si>
  <si>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</si>
  <si>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</si>
  <si>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</si>
  <si>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</si>
  <si>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</si>
  <si>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</si>
  <si>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</si>
  <si>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</si>
  <si>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</si>
  <si>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</si>
  <si>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</si>
  <si>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</si>
  <si>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</si>
  <si>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</si>
  <si>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</si>
  <si>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</si>
  <si>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</si>
  <si>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</si>
  <si>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</si>
  <si>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</si>
  <si>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</si>
  <si>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</si>
  <si>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</si>
  <si>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</si>
  <si>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</si>
  <si>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</si>
  <si>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</si>
  <si>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</si>
  <si>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</si>
  <si>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</si>
  <si>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</si>
  <si>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</si>
  <si>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</si>
  <si>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</si>
  <si>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</si>
  <si>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</si>
  <si>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</si>
  <si>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</si>
  <si>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</si>
  <si>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</si>
  <si>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</si>
  <si>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</si>
  <si>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</si>
  <si>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</si>
  <si>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</si>
  <si>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</si>
  <si>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</si>
  <si>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</si>
  <si>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</si>
  <si>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</si>
  <si>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</si>
  <si>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</si>
  <si>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</si>
  <si>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</si>
  <si>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</si>
  <si>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</si>
  <si>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</si>
  <si>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</si>
  <si>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</si>
  <si>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</si>
  <si>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</si>
  <si>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</si>
  <si>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</si>
  <si>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</si>
  <si>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</si>
  <si>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</si>
  <si>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</si>
  <si>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</si>
  <si>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</si>
  <si>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</si>
  <si>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</si>
  <si>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</si>
  <si>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</si>
  <si>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</si>
  <si>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</si>
  <si>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</si>
  <si>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</si>
  <si>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</si>
  <si>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</si>
  <si>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</si>
  <si>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</si>
  <si>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</si>
  <si>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</si>
  <si>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</si>
  <si>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</si>
  <si>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</si>
  <si>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</si>
  <si>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</si>
  <si>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</si>
  <si>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</si>
  <si>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</si>
  <si>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</si>
  <si>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</si>
  <si>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</si>
  <si>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</si>
  <si>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</si>
  <si>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</si>
  <si>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</si>
  <si>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</si>
  <si>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</si>
  <si>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</si>
  <si>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</si>
  <si>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</si>
  <si>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</si>
  <si>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</si>
  <si>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</si>
  <si>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</si>
  <si>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</si>
  <si>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</si>
  <si>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</si>
  <si>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</si>
  <si>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</si>
  <si>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</si>
  <si>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</si>
  <si>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</si>
  <si>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</si>
  <si>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</si>
  <si>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</si>
  <si>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</si>
  <si>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</si>
  <si>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</si>
  <si>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</si>
  <si>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</si>
  <si>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</si>
  <si>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</si>
  <si>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</si>
  <si>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</si>
  <si>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</si>
  <si>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</si>
  <si>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</si>
  <si>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</si>
  <si>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</si>
  <si>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</si>
  <si>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</si>
  <si>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</si>
  <si>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</si>
  <si>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</si>
  <si>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</si>
  <si>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</si>
  <si>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</si>
  <si>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</si>
  <si>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</si>
  <si>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</si>
  <si>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</si>
  <si>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</si>
  <si>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</si>
  <si>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</si>
  <si>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</si>
  <si>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</si>
  <si>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</si>
  <si>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</si>
  <si>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</si>
  <si>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</si>
  <si>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</si>
  <si>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</si>
  <si>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</si>
  <si>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</si>
  <si>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</si>
  <si>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</si>
  <si>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</si>
  <si>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</si>
  <si>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</si>
  <si>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</si>
  <si>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</si>
  <si>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</si>
  <si>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</si>
  <si>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</si>
  <si>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</si>
  <si>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</si>
  <si>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</si>
  <si>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</si>
  <si>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</si>
  <si>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</si>
  <si>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</si>
  <si>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</si>
  <si>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</si>
  <si>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</si>
  <si>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</si>
  <si>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</si>
  <si>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</si>
  <si>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</si>
  <si>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</si>
  <si>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</si>
  <si>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</si>
  <si>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</si>
  <si>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</si>
  <si>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</si>
  <si>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</si>
  <si>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</si>
  <si>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</si>
  <si>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</si>
  <si>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</si>
  <si>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</si>
  <si>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</si>
  <si>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</si>
  <si>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</si>
  <si>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</si>
  <si>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</si>
  <si>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</si>
  <si>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</si>
  <si>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</si>
  <si>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</si>
  <si>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</si>
  <si>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</si>
  <si>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</si>
  <si>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</si>
  <si>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</si>
  <si>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</si>
  <si>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</si>
  <si>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</si>
  <si>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</si>
  <si>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</si>
  <si>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</si>
  <si>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</si>
  <si>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</si>
  <si>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</si>
  <si>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</si>
  <si>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</si>
  <si>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</si>
  <si>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</si>
  <si>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</si>
  <si>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</si>
  <si>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</si>
  <si>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</si>
  <si>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</si>
  <si>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</si>
  <si>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</si>
  <si>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</si>
  <si>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</si>
  <si>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</si>
  <si>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</si>
  <si>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</si>
  <si>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</si>
  <si>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</si>
  <si>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</si>
  <si>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</si>
  <si>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</si>
  <si>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</si>
  <si>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</si>
  <si>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</si>
  <si>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</si>
  <si>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</si>
  <si>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</si>
  <si>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</si>
  <si>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</si>
  <si>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</si>
  <si>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</si>
  <si>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</si>
  <si>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</si>
  <si>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</si>
  <si>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</si>
  <si>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</si>
  <si>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</si>
  <si>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</si>
  <si>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</si>
  <si>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</si>
  <si>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</si>
  <si>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</si>
  <si>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</si>
  <si>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</si>
  <si>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</si>
  <si>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</si>
  <si>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</si>
  <si>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</si>
  <si>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</si>
  <si>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</si>
  <si>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</si>
  <si>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</si>
  <si>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</si>
  <si>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</si>
  <si>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</si>
  <si>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</si>
  <si>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</si>
  <si>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</si>
  <si>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</si>
  <si>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</si>
  <si>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</si>
  <si>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</si>
  <si>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</si>
  <si>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</si>
  <si>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parent category</t>
  </si>
  <si>
    <t>Row Labels</t>
  </si>
  <si>
    <t>Grand Total</t>
  </si>
  <si>
    <t>Column Labels</t>
  </si>
  <si>
    <t>Count of outcome</t>
  </si>
  <si>
    <t>Category</t>
  </si>
  <si>
    <t>Status</t>
  </si>
  <si>
    <t>Status by Category</t>
  </si>
  <si>
    <t>(All)</t>
  </si>
  <si>
    <t>date created conversion</t>
  </si>
  <si>
    <t>date ended conversion</t>
  </si>
  <si>
    <t>Qtr1</t>
  </si>
  <si>
    <t>Jan</t>
  </si>
  <si>
    <t>Feb</t>
  </si>
  <si>
    <t>Mar</t>
  </si>
  <si>
    <t>Qtr2</t>
  </si>
  <si>
    <t>Apr</t>
  </si>
  <si>
    <t>May</t>
  </si>
  <si>
    <t>Jun</t>
  </si>
  <si>
    <t>Qtr3</t>
  </si>
  <si>
    <t>Jul</t>
  </si>
  <si>
    <t>Aug</t>
  </si>
  <si>
    <t>Sep</t>
  </si>
  <si>
    <t>Qtr4</t>
  </si>
  <si>
    <t>Oct</t>
  </si>
  <si>
    <t>Nov</t>
  </si>
  <si>
    <t>Dec</t>
  </si>
  <si>
    <t>Years</t>
  </si>
  <si>
    <t>Quarter/Month</t>
  </si>
  <si>
    <t>Goal</t>
  </si>
  <si>
    <t>Number Successful</t>
  </si>
  <si>
    <t>Number Failed</t>
  </si>
  <si>
    <t>Number Canceled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</si>
  <si>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</si>
  <si>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</si>
  <si>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</si>
  <si>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</si>
  <si>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</si>
  <si>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</si>
  <si>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</si>
  <si>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</si>
  <si>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</si>
  <si>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</si>
  <si>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</si>
  <si>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</si>
  <si>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</si>
  <si>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</si>
  <si>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</si>
  <si>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Total Projects (Not Including Live)</t>
  </si>
  <si>
    <t>Summary Statistics</t>
  </si>
  <si>
    <t>Mean</t>
  </si>
  <si>
    <t>Median</t>
  </si>
  <si>
    <t>Minimum</t>
  </si>
  <si>
    <t>Maximum</t>
  </si>
  <si>
    <t>Variance</t>
  </si>
  <si>
    <t>Standard Deviation</t>
  </si>
  <si>
    <t>Successful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</si>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</sst>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18" fillId="0" borderId="0" xfId="0" applyNumberFormat="1" applyFont="1"/>
    <xf numFmtId="0" fontId="0" fillId="0" borderId="0" xfId="0" applyAlignment="1">
      <alignment horizontal="left" indent="1"/>
    </xf>
    <xf numFmtId="0" fontId="0" fillId="33" borderId="0" xfId="0" applyFill="1"/>
    <xf numFmtId="0" fontId="16" fillId="0" borderId="0" xfId="0" applyFont="1"/>
    <xf numFmtId="9" fontId="0" fillId="0" borderId="0" xfId="0" applyNumberFormat="1"/>
    <xf numFmtId="0" fontId="0" fillId="34" borderId="0" xfId="0" applyFill="1"/>
    <xf numFmtId="0" fontId="16" fillId="35" borderId="0" xfId="0" applyFont="1" applyFill="1" applyAlignment="1">
      <alignment horizontal="center"/>
    </xf>
    <xf numFmtId="0" fontId="16" fillId="0" borderId="10" xfId="0" applyFont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[CrowdfundingBook.xlsm]Status Based on Category!PivotTable1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'Status Based on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456-415D-A56B-3C1F3F8E432E}"/>
            </c:ext>
          </c:extLst>
        </c:ser>
        <c:ser>
          <c:idx val="1"/>
          <c:order val="1"/>
          <c:tx>
            <c:strRef>
              <c:f>'Status Based on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3">
                  <c:v>0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56-415D-A56B-3C1F3F8E432E}"/>
            </c:ext>
          </c:extLst>
        </c:ser>
        <c:ser>
          <c:idx val="2"/>
          <c:order val="2"/>
          <c:tx>
            <c:strRef>
              <c:f>'Status Based on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Category'!$D$5:$D$14</c:f>
              <c:numCache>
                <c:formatCode>General</c:formatCode>
                <c:ptCount val="9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456-415D-A56B-3C1F3F8E432E}"/>
            </c:ext>
          </c:extLst>
        </c:ser>
        <c:ser>
          <c:idx val="3"/>
          <c:order val="3"/>
          <c:tx>
            <c:strRef>
              <c:f>'Status Based on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BB-46C5-8795-2FFEBCA80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2083087"/>
        <c:axId val="532071439"/>
      </c:barChart>
      <c:catAx>
        <c:axId val="5320830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71439"/>
        <c:crosses val="autoZero"/>
        <c:auto val="1"/>
        <c:lblAlgn val="ctr"/>
        <c:lblOffset val="100"/>
        <c:noMultiLvlLbl val="0"/>
      </c:catAx>
      <c:valAx>
        <c:axId val="53207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83087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[CrowdfundingBook.xlsm]Status Based on Category!PivotTable1</c:name>
    <c:fmtId val="6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'Status Based on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6-4303-8F7A-2E91F21554E9}"/>
            </c:ext>
          </c:extLst>
        </c:ser>
        <c:ser>
          <c:idx val="1"/>
          <c:order val="1"/>
          <c:tx>
            <c:strRef>
              <c:f>'Status Based on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3">
                  <c:v>0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6-4303-8F7A-2E91F21554E9}"/>
            </c:ext>
          </c:extLst>
        </c:ser>
        <c:ser>
          <c:idx val="2"/>
          <c:order val="2"/>
          <c:tx>
            <c:strRef>
              <c:f>'Status Based on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Category'!$D$5:$D$14</c:f>
              <c:numCache>
                <c:formatCode>General</c:formatCode>
                <c:ptCount val="9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66-4303-8F7A-2E91F21554E9}"/>
            </c:ext>
          </c:extLst>
        </c:ser>
        <c:ser>
          <c:idx val="3"/>
          <c:order val="3"/>
          <c:tx>
            <c:strRef>
              <c:f>'Status Based on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'Status Based on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'Status Based on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86-4616-B32A-9AA62C757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2083087"/>
        <c:axId val="532071439"/>
      </c:barChart>
      <c:catAx>
        <c:axId val="5320830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71439"/>
        <c:crosses val="autoZero"/>
        <c:auto val="1"/>
        <c:lblAlgn val="ctr"/>
        <c:lblOffset val="100"/>
        <c:noMultiLvlLbl val="0"/>
      </c:catAx>
      <c:valAx>
        <c:axId val="53207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83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[CrowdfundingBook.xlsm]Status Based on Sub-Category!PivotTable2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'Status Based on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Sub-Category'!$B$6:$B$30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4">
                  <c:v>0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4-4433-A4AE-82F3D3EA7771}"/>
            </c:ext>
          </c:extLst>
        </c:ser>
        <c:ser>
          <c:idx val="1"/>
          <c:order val="1"/>
          <c:tx>
            <c:strRef>
              <c:f>'Status Based on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Sub-Category'!$C$6:$C$30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ED-4AC3-8BA1-9444E267D5E5}"/>
            </c:ext>
          </c:extLst>
        </c:ser>
        <c:ser>
          <c:idx val="2"/>
          <c:order val="2"/>
          <c:tx>
            <c:strRef>
              <c:f>'Status Based on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Sub-Category'!$D$6:$D$30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ED-4AC3-8BA1-9444E267D5E5}"/>
            </c:ext>
          </c:extLst>
        </c:ser>
        <c:ser>
          <c:idx val="3"/>
          <c:order val="3"/>
          <c:tx>
            <c:strRef>
              <c:f>'Status Based on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ED-4AC3-8BA1-9444E267D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8414063"/>
        <c:axId val="1258407823"/>
      </c:barChart>
      <c:catAx>
        <c:axId val="1258414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407823"/>
        <c:crosses val="autoZero"/>
        <c:auto val="1"/>
        <c:lblAlgn val="ctr"/>
        <c:lblOffset val="100"/>
        <c:noMultiLvlLbl val="0"/>
      </c:catAx>
      <c:valAx>
        <c:axId val="125840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414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[CrowdfundingBook.xlsm]Status Based on Sub-Category!PivotTable2</c:name>
    <c:fmtId val="2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'Status Based on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Sub-Category'!$B$6:$B$30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4">
                  <c:v>0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A-4C84-ABB0-41AAB13FF275}"/>
            </c:ext>
          </c:extLst>
        </c:ser>
        <c:ser>
          <c:idx val="1"/>
          <c:order val="1"/>
          <c:tx>
            <c:strRef>
              <c:f>'Status Based on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Sub-Category'!$C$6:$C$30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B3-47CD-8031-BFAC041E2C4A}"/>
            </c:ext>
          </c:extLst>
        </c:ser>
        <c:ser>
          <c:idx val="2"/>
          <c:order val="2"/>
          <c:tx>
            <c:strRef>
              <c:f>'Status Based on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Sub-Category'!$D$6:$D$30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B3-47CD-8031-BFAC041E2C4A}"/>
            </c:ext>
          </c:extLst>
        </c:ser>
        <c:ser>
          <c:idx val="3"/>
          <c:order val="3"/>
          <c:tx>
            <c:strRef>
              <c:f>'Status Based on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'Status 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'Status Based on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B3-47CD-8031-BFAC041E2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8414063"/>
        <c:axId val="1258407823"/>
      </c:barChart>
      <c:catAx>
        <c:axId val="1258414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407823"/>
        <c:crosses val="autoZero"/>
        <c:auto val="1"/>
        <c:lblAlgn val="ctr"/>
        <c:lblOffset val="100"/>
        <c:noMultiLvlLbl val="0"/>
      </c:catAx>
      <c:valAx>
        <c:axId val="125840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414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[CrowdfundingBook.xlsm]Status Based on Date Created!PivotTable2</c:name>
    <c:fmtId val="8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9525">
              <a:solidFill>
                <a:srgbClr val="FFC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rgbClr val="FFFF00"/>
            </a:solidFill>
            <a:ln w="9525">
              <a:solidFill>
                <a:srgbClr val="FFFF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'Status Based on Date Created'!$B$4:$B$5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'Status Based on Date Created'!$A$6:$A$22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'Status Based on Date Created'!$B$6:$B$22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5-4C35-8988-B776F760362E}"/>
            </c:ext>
          </c:extLst>
        </c:ser>
        <c:ser>
          <c:idx val="1"/>
          <c:order val="1"/>
          <c:tx>
            <c:strRef>
              <c:f>'Status Based on Date Created'!$C$4:$C$5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multiLvlStrRef>
              <c:f>'Status Based on Date Created'!$A$6:$A$22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'Status Based on Date Created'!$C$6:$C$22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35-400C-A7D1-AB2BAEDC2DD4}"/>
            </c:ext>
          </c:extLst>
        </c:ser>
        <c:ser>
          <c:idx val="2"/>
          <c:order val="2"/>
          <c:tx>
            <c:strRef>
              <c:f>'Status Based on Date Created'!$D$4:$D$5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cat>
            <c:multiLvlStrRef>
              <c:f>'Status Based on Date Created'!$A$6:$A$22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'Status Based on Date Created'!$D$6:$D$22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35-400C-A7D1-AB2BAEDC2DD4}"/>
            </c:ext>
          </c:extLst>
        </c:ser>
        <c:ser>
          <c:idx val="3"/>
          <c:order val="3"/>
          <c:tx>
            <c:strRef>
              <c:f>'Status Based on Date Created'!$E$4:$E$5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multiLvlStrRef>
              <c:f>'Status Based on Date Created'!$A$6:$A$22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'Status Based on Date Created'!$E$6:$E$22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3-484C-84CE-0FC278184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409679"/>
        <c:axId val="1350411759"/>
      </c:lineChart>
      <c:catAx>
        <c:axId val="13504096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  <a:r>
                  <a:rPr lang="en-US" baseline="0"/>
                  <a:t> Created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411759"/>
        <c:crosses val="autoZero"/>
        <c:auto val="1"/>
        <c:lblAlgn val="ctr"/>
        <c:lblOffset val="100"/>
        <c:noMultiLvlLbl val="0"/>
      </c:catAx>
      <c:valAx>
        <c:axId val="135041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40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'Bonus 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'Bonus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95-4265-A113-D24C1F5B5321}"/>
            </c:ext>
          </c:extLst>
        </c:ser>
        <c:ser>
          <c:idx val="1"/>
          <c:order val="1"/>
          <c:tx>
            <c:strRef>
              <c:f>'Bonus 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'Bonus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5-4265-A113-D24C1F5B5321}"/>
            </c:ext>
          </c:extLst>
        </c:ser>
        <c:ser>
          <c:idx val="2"/>
          <c:order val="2"/>
          <c:tx>
            <c:strRef>
              <c:f>'Bonus 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'Bonus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95-4265-A113-D24C1F5B5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600592"/>
        <c:axId val="1370578128"/>
      </c:lineChart>
      <c:catAx>
        <c:axId val="137060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578128"/>
        <c:crosses val="autoZero"/>
        <c:auto val="1"/>
        <c:lblAlgn val="ctr"/>
        <c:lblOffset val="100"/>
        <c:noMultiLvlLbl val="0"/>
      </c:catAx>
      <c:valAx>
        <c:axId val="13705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60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Backer_Count for Successful Campaigns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Backer_Count for Successful Campaigns</a:t>
          </a:r>
        </a:p>
      </cx:txPr>
    </cx:title>
    <cx:plotArea>
      <cx:plotAreaRegion>
        <cx:series layoutId="clusteredColumn" uniqueId="{CD772560-882D-4155-AE55-B25D5EECBEF7}">
          <cx:tx>
            <cx:txData>
              <cx:f>_xlchart.v1.4</cx:f>
              <cx:v>backers_count</cx:v>
            </cx:txData>
          </cx:tx>
          <cx:spPr>
            <a:solidFill>
              <a:schemeClr val="accent6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Backers_count for Failed Campaigns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Backers_count for Failed Campaigns</a:t>
          </a:r>
        </a:p>
      </cx:txPr>
    </cx:title>
    <cx:plotArea>
      <cx:plotAreaRegion>
        <cx:series layoutId="clusteredColumn" uniqueId="{F595EFC8-D32B-4E87-B23D-26F81B8D1AF4}">
          <cx:tx>
            <cx:txData>
              <cx:f>_xlchart.v1.2</cx:f>
              <cx:v>backers_count</cx:v>
            </cx:txData>
          </cx:tx>
          <cx:spPr>
            <a:solidFill>
              <a:srgbClr val="FF000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0</xdr:row>
      <xdr:rowOff>0</xdr:rowOff>
    </xdr:from>
    <xdr:to>
      <xdr:col>13</xdr:col>
      <xdr:colOff>565150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95CBAC-7B19-2623-E594-A15D71C44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16</xdr:row>
      <xdr:rowOff>57150</xdr:rowOff>
    </xdr:from>
    <xdr:to>
      <xdr:col>13</xdr:col>
      <xdr:colOff>533400</xdr:colOff>
      <xdr:row>31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10516A-BCB2-47A8-A1CF-5E7FFD0DD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0</xdr:row>
      <xdr:rowOff>158750</xdr:rowOff>
    </xdr:from>
    <xdr:to>
      <xdr:col>14</xdr:col>
      <xdr:colOff>165100</xdr:colOff>
      <xdr:row>16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D71A32-9D8B-7F08-355A-72AE2C7F8F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330200</xdr:colOff>
      <xdr:row>17</xdr:row>
      <xdr:rowOff>120650</xdr:rowOff>
    </xdr:from>
    <xdr:to>
      <xdr:col>14</xdr:col>
      <xdr:colOff>171450</xdr:colOff>
      <xdr:row>33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FB8C21-67FD-4379-ACAD-6A044473B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152400</xdr:rowOff>
    </xdr:from>
    <xdr:to>
      <xdr:col>15</xdr:col>
      <xdr:colOff>25400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954923-44D0-A6F4-0065-D40107116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1504950</xdr:colOff>
      <xdr:row>16</xdr:row>
      <xdr:rowOff>19050</xdr:rowOff>
    </xdr:from>
    <xdr:to>
      <xdr:col>6</xdr:col>
      <xdr:colOff>1143000</xdr:colOff>
      <xdr:row>33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1D3F92-3883-EF87-9CB2-811702BFD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635000</xdr:colOff>
      <xdr:row>16</xdr:row>
      <xdr:rowOff>114300</xdr:rowOff>
    </xdr:from>
    <xdr:to>
      <xdr:col>12</xdr:col>
      <xdr:colOff>565150</xdr:colOff>
      <xdr:row>67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C126E61-1554-E321-2651-EDDD624783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14900" y="18859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635000</xdr:colOff>
      <xdr:row>67</xdr:row>
      <xdr:rowOff>101600</xdr:rowOff>
    </xdr:from>
    <xdr:to>
      <xdr:col>12</xdr:col>
      <xdr:colOff>565150</xdr:colOff>
      <xdr:row>117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06FA8CF-BAAB-FF70-B32B-0B4CEEB1CF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1450" y="4629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alie Lollin" refreshedDate="44972.680571527781" createdVersion="8" refreshedVersion="8" minRefreshableVersion="3" recordCount="1000" xr:uid="{E75652E0-1D3E-4CAC-A0B1-C2F972956FCD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alie Lollin" refreshedDate="44972.692631944446" createdVersion="8" refreshedVersion="8" minRefreshableVersion="3" recordCount="1001" xr:uid="{A5AC4DCB-066B-48B4-8759-25CF9B0353D5}">
  <cacheSource type="worksheet">
    <worksheetSource ref="A1:R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alie Lollin" refreshedDate="44973.72686145833" createdVersion="8" refreshedVersion="8" minRefreshableVersion="3" recordCount="1001" xr:uid="{ED0741E0-0460-49B7-AC96-FA43E582344E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8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0">
      <sharedItems containsNonDate="0" containsDate="1" containsString="0" containsBlank="1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s v="0"/>
    <x v="0"/>
    <s v="CAD"/>
    <n v="1448690400"/>
    <n v="1450159200"/>
    <b v="0"/>
    <b v="0"/>
    <s v="food/food trucks"/>
    <x v="0"/>
    <s v="food trucks"/>
  </r>
  <r>
    <n v="1"/>
    <s v="Odom Inc"/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s v="music/rock"/>
    <x v="1"/>
    <s v="rock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s v="technology/web"/>
    <x v="2"/>
    <s v="web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s v="music/rock"/>
    <x v="1"/>
    <s v="rock"/>
  </r>
  <r>
    <n v="4"/>
    <s v="Larson-Little"/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s v="theater/plays"/>
    <x v="3"/>
    <s v="plays"/>
  </r>
  <r>
    <n v="5"/>
    <s v="Harris Group"/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s v="theater/plays"/>
    <x v="3"/>
    <s v="plays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s v="film &amp; video/documentary"/>
    <x v="4"/>
    <s v="documentary"/>
  </r>
  <r>
    <n v="7"/>
    <s v="Carter-Guzman"/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s v="theater/plays"/>
    <x v="3"/>
    <s v="plays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s v="theater/plays"/>
    <x v="3"/>
    <s v="plays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s v="music/electric music"/>
    <x v="1"/>
    <s v="electric music"/>
  </r>
  <r>
    <n v="10"/>
    <s v="Green Ltd"/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s v="theater/plays"/>
    <x v="3"/>
    <s v="plays"/>
  </r>
  <r>
    <n v="12"/>
    <s v="Kim Ltd"/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s v="film &amp; video/drama"/>
    <x v="4"/>
    <s v="drama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s v="music/indie rock"/>
    <x v="1"/>
    <s v="indie rock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s v="music/indie rock"/>
    <x v="1"/>
    <s v="indie rock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s v="technology/wearables"/>
    <x v="2"/>
    <s v="wearables"/>
  </r>
  <r>
    <n v="16"/>
    <s v="Hines Inc"/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s v="publishing/nonfiction"/>
    <x v="5"/>
    <s v="nonfiction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s v="film &amp; video/animation"/>
    <x v="4"/>
    <s v="animation"/>
  </r>
  <r>
    <n v="18"/>
    <s v="Johnson-Gould"/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s v="theater/plays"/>
    <x v="3"/>
    <s v="plays"/>
  </r>
  <r>
    <n v="19"/>
    <s v="Perez-Hess"/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s v="theater/plays"/>
    <x v="3"/>
    <s v="plays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s v="film &amp; video/drama"/>
    <x v="4"/>
    <s v="drama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s v="theater/plays"/>
    <x v="3"/>
    <s v="plays"/>
  </r>
  <r>
    <n v="22"/>
    <s v="Collier Inc"/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s v="theater/plays"/>
    <x v="3"/>
    <s v="plays"/>
  </r>
  <r>
    <n v="23"/>
    <s v="Gray-Jenkins"/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s v="technology/wearables"/>
    <x v="2"/>
    <s v="wearables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s v="games/video games"/>
    <x v="6"/>
    <s v="video games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s v="theater/plays"/>
    <x v="3"/>
    <s v="plays"/>
  </r>
  <r>
    <n v="27"/>
    <s v="Best, Carr and Williams"/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s v="music/rock"/>
    <x v="1"/>
    <s v="rock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s v="theater/plays"/>
    <x v="3"/>
    <s v="plays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s v="film &amp; video/shorts"/>
    <x v="4"/>
    <s v="shorts"/>
  </r>
  <r>
    <n v="30"/>
    <s v="Clark-Cooke"/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s v="film &amp; video/animation"/>
    <x v="4"/>
    <s v="animation"/>
  </r>
  <r>
    <n v="31"/>
    <s v="Schroeder Ltd"/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s v="games/video games"/>
    <x v="6"/>
    <s v="video games"/>
  </r>
  <r>
    <n v="32"/>
    <s v="Jackson PLC"/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s v="theater/plays"/>
    <x v="3"/>
    <s v="plays"/>
  </r>
  <r>
    <n v="34"/>
    <s v="Maldonado and Sons"/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s v="film &amp; video/documentary"/>
    <x v="4"/>
    <s v="documentary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s v="film &amp; video/drama"/>
    <x v="4"/>
    <s v="drama"/>
  </r>
  <r>
    <n v="36"/>
    <s v="Jackson-Lewis"/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s v="theater/plays"/>
    <x v="3"/>
    <s v="plays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s v="publishing/fiction"/>
    <x v="5"/>
    <s v="fiction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s v="photography/photography books"/>
    <x v="7"/>
    <s v="photography books"/>
  </r>
  <r>
    <n v="39"/>
    <s v="Kim-Rice"/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s v="theater/plays"/>
    <x v="3"/>
    <s v="plays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s v="technology/wearables"/>
    <x v="2"/>
    <s v="wearables"/>
  </r>
  <r>
    <n v="41"/>
    <s v="Watts Group"/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s v="music/rock"/>
    <x v="1"/>
    <s v="rock"/>
  </r>
  <r>
    <n v="42"/>
    <s v="Werner-Bryant"/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s v="food/food trucks"/>
    <x v="0"/>
    <s v="food trucks"/>
  </r>
  <r>
    <n v="43"/>
    <s v="Schmitt-Mendoza"/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s v="publishing/radio &amp; podcasts"/>
    <x v="5"/>
    <s v="radio &amp; podcasts"/>
  </r>
  <r>
    <n v="44"/>
    <s v="Reid-Mccullough"/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s v="publishing/fiction"/>
    <x v="5"/>
    <s v="fiction"/>
  </r>
  <r>
    <n v="45"/>
    <s v="Woods-Clark"/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s v="theater/plays"/>
    <x v="3"/>
    <s v="plays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s v="music/rock"/>
    <x v="1"/>
    <s v="rock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s v="theater/plays"/>
    <x v="3"/>
    <s v="plays"/>
  </r>
  <r>
    <n v="48"/>
    <s v="Lamb Inc"/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s v="theater/plays"/>
    <x v="3"/>
    <s v="plays"/>
  </r>
  <r>
    <n v="49"/>
    <s v="Casey-Kelly"/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s v="music/rock"/>
    <x v="1"/>
    <s v="rock"/>
  </r>
  <r>
    <n v="50"/>
    <s v="Jones, Taylor and Moore"/>
    <s v="Down-sized system-worthy secured line"/>
    <n v="100"/>
    <n v="2"/>
    <n v="0.02"/>
    <x v="0"/>
    <n v="1"/>
    <n v="2"/>
    <x v="6"/>
    <s v="EUR"/>
    <n v="1375333200"/>
    <n v="1377752400"/>
    <b v="0"/>
    <b v="0"/>
    <s v="music/metal"/>
    <x v="1"/>
    <s v="metal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s v="technology/wearables"/>
    <x v="2"/>
    <s v="wearables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s v="theater/plays"/>
    <x v="3"/>
    <s v="plays"/>
  </r>
  <r>
    <n v="53"/>
    <s v="Smith-Jones"/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s v="film &amp; video/drama"/>
    <x v="4"/>
    <s v="drama"/>
  </r>
  <r>
    <n v="54"/>
    <s v="Roy PLC"/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s v="music/jazz"/>
    <x v="1"/>
    <s v="jazz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s v="technology/wearables"/>
    <x v="2"/>
    <s v="wearables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s v="games/video games"/>
    <x v="6"/>
    <s v="video games"/>
  </r>
  <r>
    <n v="58"/>
    <s v="Anderson-Perez"/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s v="theater/plays"/>
    <x v="3"/>
    <s v="plays"/>
  </r>
  <r>
    <n v="59"/>
    <s v="Wright, Fox and Marks"/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s v="theater/plays"/>
    <x v="3"/>
    <s v="plays"/>
  </r>
  <r>
    <n v="60"/>
    <s v="Crawford-Peters"/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s v="theater/plays"/>
    <x v="3"/>
    <s v="plays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s v="theater/plays"/>
    <x v="3"/>
    <s v="plays"/>
  </r>
  <r>
    <n v="62"/>
    <s v="Sparks-West"/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s v="technology/web"/>
    <x v="2"/>
    <s v="web"/>
  </r>
  <r>
    <n v="63"/>
    <s v="Baker, Morgan and Brown"/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s v="theater/plays"/>
    <x v="3"/>
    <s v="plays"/>
  </r>
  <r>
    <n v="64"/>
    <s v="Mosley-Gilbert"/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s v="technology/web"/>
    <x v="2"/>
    <s v="web"/>
  </r>
  <r>
    <n v="65"/>
    <s v="Berry-Boyer"/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s v="theater/plays"/>
    <x v="3"/>
    <s v="plays"/>
  </r>
  <r>
    <n v="66"/>
    <s v="Sanders-Allen"/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s v="theater/plays"/>
    <x v="3"/>
    <s v="plays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s v="technology/wearables"/>
    <x v="2"/>
    <s v="wearables"/>
  </r>
  <r>
    <n v="68"/>
    <s v="Moreno-Turner"/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s v="theater/plays"/>
    <x v="3"/>
    <s v="plays"/>
  </r>
  <r>
    <n v="69"/>
    <s v="Jones-Watson"/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s v="theater/plays"/>
    <x v="3"/>
    <s v="plays"/>
  </r>
  <r>
    <n v="70"/>
    <s v="Barker Inc"/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s v="theater/plays"/>
    <x v="3"/>
    <s v="plays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s v="theater/plays"/>
    <x v="3"/>
    <s v="plays"/>
  </r>
  <r>
    <n v="72"/>
    <s v="Hampton, Lewis and Ray"/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s v="film &amp; video/animation"/>
    <x v="4"/>
    <s v="animation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s v="music/jazz"/>
    <x v="1"/>
    <s v="jazz"/>
  </r>
  <r>
    <n v="74"/>
    <s v="Davis-Michael"/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s v="music/metal"/>
    <x v="1"/>
    <s v="metal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s v="theater/plays"/>
    <x v="3"/>
    <s v="plays"/>
  </r>
  <r>
    <n v="77"/>
    <s v="Acevedo-Huffman"/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s v="publishing/translations"/>
    <x v="5"/>
    <s v="translations"/>
  </r>
  <r>
    <n v="79"/>
    <s v="Soto LLC"/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s v="theater/plays"/>
    <x v="3"/>
    <s v="plays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s v="games/video games"/>
    <x v="6"/>
    <s v="video games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s v="music/rock"/>
    <x v="1"/>
    <s v="rock"/>
  </r>
  <r>
    <n v="82"/>
    <s v="Porter-George"/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s v="games/video games"/>
    <x v="6"/>
    <s v="video games"/>
  </r>
  <r>
    <n v="83"/>
    <s v="Fitzgerald PLC"/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s v="music/electric music"/>
    <x v="1"/>
    <s v="electric music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s v="technology/wearables"/>
    <x v="2"/>
    <s v="wearables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s v="music/indie rock"/>
    <x v="1"/>
    <s v="indie rock"/>
  </r>
  <r>
    <n v="86"/>
    <s v="Davis-Smith"/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s v="theater/plays"/>
    <x v="3"/>
    <s v="plays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s v="music/rock"/>
    <x v="1"/>
    <s v="rock"/>
  </r>
  <r>
    <n v="88"/>
    <s v="Clark Group"/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s v="theater/plays"/>
    <x v="3"/>
    <s v="plays"/>
  </r>
  <r>
    <n v="90"/>
    <s v="Kramer Group"/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s v="theater/plays"/>
    <x v="3"/>
    <s v="plays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s v="publishing/translations"/>
    <x v="5"/>
    <s v="translations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s v="games/video games"/>
    <x v="6"/>
    <s v="video games"/>
  </r>
  <r>
    <n v="93"/>
    <s v="Hall and Sons"/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s v="theater/plays"/>
    <x v="3"/>
    <s v="plays"/>
  </r>
  <r>
    <n v="94"/>
    <s v="Hanson Inc"/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s v="technology/web"/>
    <x v="2"/>
    <s v="web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s v="film &amp; video/documentary"/>
    <x v="4"/>
    <s v="documentary"/>
  </r>
  <r>
    <n v="96"/>
    <s v="Howard Ltd"/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s v="theater/plays"/>
    <x v="3"/>
    <s v="plays"/>
  </r>
  <r>
    <n v="97"/>
    <s v="Stewart LLC"/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s v="food/food trucks"/>
    <x v="0"/>
    <s v="food trucks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s v="games/video games"/>
    <x v="6"/>
    <s v="video games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s v="theater/plays"/>
    <x v="3"/>
    <s v="plays"/>
  </r>
  <r>
    <n v="100"/>
    <s v="Tucker, Fox and Green"/>
    <s v="Upgradable fault-tolerant approach"/>
    <n v="100"/>
    <n v="1"/>
    <n v="0.01"/>
    <x v="0"/>
    <n v="1"/>
    <n v="1"/>
    <x v="1"/>
    <s v="USD"/>
    <n v="1319000400"/>
    <n v="1320555600"/>
    <b v="0"/>
    <b v="0"/>
    <s v="theater/plays"/>
    <x v="3"/>
    <s v="plays"/>
  </r>
  <r>
    <n v="101"/>
    <s v="Douglas LLC"/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s v="music/electric music"/>
    <x v="1"/>
    <s v="electric music"/>
  </r>
  <r>
    <n v="102"/>
    <s v="Garcia Inc"/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s v="technology/wearables"/>
    <x v="2"/>
    <s v="wearables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s v="music/indie rock"/>
    <x v="1"/>
    <s v="indie rock"/>
  </r>
  <r>
    <n v="105"/>
    <s v="Charles-Johnson"/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s v="technology/web"/>
    <x v="2"/>
    <s v="web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s v="theater/plays"/>
    <x v="3"/>
    <s v="plays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s v="theater/plays"/>
    <x v="3"/>
    <s v="plays"/>
  </r>
  <r>
    <n v="108"/>
    <s v="Decker Inc"/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s v="film &amp; video/documentary"/>
    <x v="4"/>
    <s v="documentary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s v="food/food trucks"/>
    <x v="0"/>
    <s v="food trucks"/>
  </r>
  <r>
    <n v="111"/>
    <s v="Hart-Briggs"/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s v="publishing/radio &amp; podcasts"/>
    <x v="5"/>
    <s v="radio &amp; podcasts"/>
  </r>
  <r>
    <n v="112"/>
    <s v="Jones-Meyer"/>
    <s v="Re-engineered client-driven hub"/>
    <n v="4700"/>
    <n v="12635"/>
    <n v="2.6882978723404256"/>
    <x v="1"/>
    <n v="361"/>
    <n v="35"/>
    <x v="2"/>
    <s v="AUD"/>
    <n v="1408856400"/>
    <n v="1410152400"/>
    <b v="0"/>
    <b v="0"/>
    <s v="technology/web"/>
    <x v="2"/>
    <s v="web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s v="food/food trucks"/>
    <x v="0"/>
    <s v="food trucks"/>
  </r>
  <r>
    <n v="114"/>
    <s v="Harper-Davis"/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s v="technology/wearables"/>
    <x v="2"/>
    <s v="wearables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s v="publishing/fiction"/>
    <x v="5"/>
    <s v="fiction"/>
  </r>
  <r>
    <n v="116"/>
    <s v="David-Clark"/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s v="theater/plays"/>
    <x v="3"/>
    <s v="plays"/>
  </r>
  <r>
    <n v="117"/>
    <s v="Chaney-Dennis"/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s v="film &amp; video/documentary"/>
    <x v="4"/>
    <s v="documentary"/>
  </r>
  <r>
    <n v="120"/>
    <s v="Vega Group"/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s v="games/mobile games"/>
    <x v="6"/>
    <s v="mobile games"/>
  </r>
  <r>
    <n v="121"/>
    <s v="Brown-Brown"/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s v="games/video games"/>
    <x v="6"/>
    <s v="video games"/>
  </r>
  <r>
    <n v="122"/>
    <s v="Taylor PLC"/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s v="publishing/fiction"/>
    <x v="5"/>
    <s v="fiction"/>
  </r>
  <r>
    <n v="123"/>
    <s v="Edwards-Lewis"/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s v="theater/plays"/>
    <x v="3"/>
    <s v="plays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s v="photography/photography books"/>
    <x v="7"/>
    <s v="photography books"/>
  </r>
  <r>
    <n v="125"/>
    <s v="Pratt LLC"/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s v="theater/plays"/>
    <x v="3"/>
    <s v="plays"/>
  </r>
  <r>
    <n v="126"/>
    <s v="Gross PLC"/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s v="theater/plays"/>
    <x v="3"/>
    <s v="plays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s v="theater/plays"/>
    <x v="3"/>
    <s v="plays"/>
  </r>
  <r>
    <n v="128"/>
    <s v="Allen-Curtis"/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s v="music/rock"/>
    <x v="1"/>
    <s v="rock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s v="food/food trucks"/>
    <x v="0"/>
    <s v="food trucks"/>
  </r>
  <r>
    <n v="130"/>
    <s v="Luna, Anderson and Fox"/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s v="technology/web"/>
    <x v="2"/>
    <s v="web"/>
  </r>
  <r>
    <n v="132"/>
    <s v="Flowers and Sons"/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s v="theater/plays"/>
    <x v="3"/>
    <s v="plays"/>
  </r>
  <r>
    <n v="133"/>
    <s v="Gates PLC"/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s v="music/world music"/>
    <x v="1"/>
    <s v="world music"/>
  </r>
  <r>
    <n v="134"/>
    <s v="Caldwell LLC"/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s v="film &amp; video/documentary"/>
    <x v="4"/>
    <s v="documentary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s v="theater/plays"/>
    <x v="3"/>
    <s v="plays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s v="film &amp; video/drama"/>
    <x v="4"/>
    <s v="drama"/>
  </r>
  <r>
    <n v="137"/>
    <s v="Hudson-Nguyen"/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s v="publishing/nonfiction"/>
    <x v="5"/>
    <s v="nonfiction"/>
  </r>
  <r>
    <n v="138"/>
    <s v="Hogan Ltd"/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s v="games/mobile games"/>
    <x v="6"/>
    <s v="mobile games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s v="technology/wearables"/>
    <x v="2"/>
    <s v="wearables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s v="film &amp; video/documentary"/>
    <x v="4"/>
    <s v="documentary"/>
  </r>
  <r>
    <n v="141"/>
    <s v="Jackson LLC"/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s v="technology/web"/>
    <x v="2"/>
    <s v="web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s v="technology/web"/>
    <x v="2"/>
    <s v="web"/>
  </r>
  <r>
    <n v="143"/>
    <s v="Avila-Jones"/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s v="music/indie rock"/>
    <x v="1"/>
    <s v="indie rock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s v="theater/plays"/>
    <x v="3"/>
    <s v="plays"/>
  </r>
  <r>
    <n v="145"/>
    <s v="Fields-Moore"/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s v="technology/wearables"/>
    <x v="2"/>
    <s v="wearables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s v="theater/plays"/>
    <x v="3"/>
    <s v="plays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s v="theater/plays"/>
    <x v="3"/>
    <s v="plays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s v="technology/wearables"/>
    <x v="2"/>
    <s v="wearables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s v="music/indie rock"/>
    <x v="1"/>
    <s v="indie rock"/>
  </r>
  <r>
    <n v="150"/>
    <s v="Brown, Palmer and Pace"/>
    <s v="Networked stable workforce"/>
    <n v="100"/>
    <n v="1"/>
    <n v="0.01"/>
    <x v="0"/>
    <n v="1"/>
    <n v="1"/>
    <x v="1"/>
    <s v="USD"/>
    <n v="1544940000"/>
    <n v="1545026400"/>
    <b v="0"/>
    <b v="0"/>
    <s v="music/rock"/>
    <x v="1"/>
    <s v="rock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s v="music/indie rock"/>
    <x v="1"/>
    <s v="indie rock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s v="theater/plays"/>
    <x v="3"/>
    <s v="plays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s v="music/indie rock"/>
    <x v="1"/>
    <s v="indie rock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s v="theater/plays"/>
    <x v="3"/>
    <s v="plays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s v="music/rock"/>
    <x v="1"/>
    <s v="rock"/>
  </r>
  <r>
    <n v="157"/>
    <s v="Curtis-Curtis"/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s v="photography/photography books"/>
    <x v="7"/>
    <s v="photography books"/>
  </r>
  <r>
    <n v="158"/>
    <s v="Carlson Inc"/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s v="music/rock"/>
    <x v="1"/>
    <s v="rock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s v="theater/plays"/>
    <x v="3"/>
    <s v="plays"/>
  </r>
  <r>
    <n v="160"/>
    <s v="Evans Group"/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s v="technology/wearables"/>
    <x v="2"/>
    <s v="wearables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s v="technology/web"/>
    <x v="2"/>
    <s v="web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s v="music/rock"/>
    <x v="1"/>
    <s v="rock"/>
  </r>
  <r>
    <n v="163"/>
    <s v="Burton-Watkins"/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s v="theater/plays"/>
    <x v="3"/>
    <s v="plays"/>
  </r>
  <r>
    <n v="165"/>
    <s v="Cordova Ltd"/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s v="technology/web"/>
    <x v="2"/>
    <s v="web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s v="photography/photography books"/>
    <x v="7"/>
    <s v="photography books"/>
  </r>
  <r>
    <n v="167"/>
    <s v="Cruz-Ward"/>
    <s v="Robust content-based emulation"/>
    <n v="2600"/>
    <n v="10804"/>
    <n v="4.155384615384615"/>
    <x v="1"/>
    <n v="146"/>
    <n v="74"/>
    <x v="2"/>
    <s v="AUD"/>
    <n v="1370840400"/>
    <n v="1371704400"/>
    <b v="0"/>
    <b v="0"/>
    <s v="theater/plays"/>
    <x v="3"/>
    <s v="plays"/>
  </r>
  <r>
    <n v="168"/>
    <s v="Hernandez Group"/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s v="music/indie rock"/>
    <x v="1"/>
    <s v="indie rock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s v="music/indie rock"/>
    <x v="1"/>
    <s v="indie rock"/>
  </r>
  <r>
    <n v="171"/>
    <s v="Blair Group"/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s v="publishing/translations"/>
    <x v="5"/>
    <s v="translations"/>
  </r>
  <r>
    <n v="172"/>
    <s v="Nixon Inc"/>
    <s v="Centralized national firmware"/>
    <n v="800"/>
    <n v="663"/>
    <n v="0.82874999999999999"/>
    <x v="0"/>
    <n v="26"/>
    <n v="25.5"/>
    <x v="1"/>
    <s v="USD"/>
    <n v="1405746000"/>
    <n v="1407042000"/>
    <b v="0"/>
    <b v="1"/>
    <s v="film &amp; video/documentary"/>
    <x v="4"/>
    <s v="documentary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s v="theater/plays"/>
    <x v="3"/>
    <s v="plays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s v="technology/wearables"/>
    <x v="2"/>
    <s v="wearables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s v="theater/plays"/>
    <x v="3"/>
    <s v="plays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s v="theater/plays"/>
    <x v="3"/>
    <s v="plays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s v="theater/plays"/>
    <x v="3"/>
    <s v="plays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s v="food/food trucks"/>
    <x v="0"/>
    <s v="food trucks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s v="theater/plays"/>
    <x v="3"/>
    <s v="plays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s v="technology/wearables"/>
    <x v="2"/>
    <s v="wearables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s v="technology/web"/>
    <x v="2"/>
    <s v="web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s v="theater/plays"/>
    <x v="3"/>
    <s v="plays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s v="music/rock"/>
    <x v="1"/>
    <s v="rock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s v="theater/plays"/>
    <x v="3"/>
    <s v="plays"/>
  </r>
  <r>
    <n v="185"/>
    <s v="Bailey PLC"/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s v="film &amp; video/television"/>
    <x v="4"/>
    <s v="television"/>
  </r>
  <r>
    <n v="186"/>
    <s v="Parker Group"/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s v="theater/plays"/>
    <x v="3"/>
    <s v="plays"/>
  </r>
  <r>
    <n v="187"/>
    <s v="Fox Group"/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s v="film &amp; video/shorts"/>
    <x v="4"/>
    <s v="shorts"/>
  </r>
  <r>
    <n v="188"/>
    <s v="Walker, Jones and Rodriguez"/>
    <s v="Networked didactic info-mediaries"/>
    <n v="8200"/>
    <n v="2625"/>
    <n v="0.3201219512195122"/>
    <x v="0"/>
    <n v="35"/>
    <n v="75"/>
    <x v="6"/>
    <s v="EUR"/>
    <n v="1417500000"/>
    <n v="1417586400"/>
    <b v="0"/>
    <b v="0"/>
    <s v="theater/plays"/>
    <x v="3"/>
    <s v="plays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s v="theater/plays"/>
    <x v="3"/>
    <s v="plays"/>
  </r>
  <r>
    <n v="190"/>
    <s v="Cook LLC"/>
    <s v="Up-sized dynamic throughput"/>
    <n v="3700"/>
    <n v="2538"/>
    <n v="0.68594594594594593"/>
    <x v="0"/>
    <n v="24"/>
    <n v="105.75"/>
    <x v="1"/>
    <s v="USD"/>
    <n v="1370322000"/>
    <n v="1370408400"/>
    <b v="0"/>
    <b v="1"/>
    <s v="theater/plays"/>
    <x v="3"/>
    <s v="plays"/>
  </r>
  <r>
    <n v="191"/>
    <s v="Sutton PLC"/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s v="theater/plays"/>
    <x v="3"/>
    <s v="plays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s v="music/rock"/>
    <x v="1"/>
    <s v="rock"/>
  </r>
  <r>
    <n v="193"/>
    <s v="Calhoun, Rogers and Long"/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s v="music/indie rock"/>
    <x v="1"/>
    <s v="indie rock"/>
  </r>
  <r>
    <n v="194"/>
    <s v="Sandoval Group"/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s v="music/metal"/>
    <x v="1"/>
    <s v="metal"/>
  </r>
  <r>
    <n v="195"/>
    <s v="Smith and Sons"/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s v="music/electric music"/>
    <x v="1"/>
    <s v="electric music"/>
  </r>
  <r>
    <n v="196"/>
    <s v="King Inc"/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s v="technology/wearables"/>
    <x v="2"/>
    <s v="wearables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s v="film &amp; video/drama"/>
    <x v="4"/>
    <s v="drama"/>
  </r>
  <r>
    <n v="198"/>
    <s v="Palmer Inc"/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s v="music/electric music"/>
    <x v="1"/>
    <s v="electric music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s v="music/rock"/>
    <x v="1"/>
    <s v="rock"/>
  </r>
  <r>
    <n v="200"/>
    <s v="Becker, Rice and White"/>
    <s v="Reduced dedicated capability"/>
    <n v="100"/>
    <n v="2"/>
    <n v="0.02"/>
    <x v="0"/>
    <n v="1"/>
    <n v="2"/>
    <x v="0"/>
    <s v="CAD"/>
    <n v="1269493200"/>
    <n v="1270443600"/>
    <b v="0"/>
    <b v="0"/>
    <s v="theater/plays"/>
    <x v="3"/>
    <s v="plays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s v="technology/web"/>
    <x v="2"/>
    <s v="web"/>
  </r>
  <r>
    <n v="202"/>
    <s v="Mcknight-Freeman"/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s v="theater/plays"/>
    <x v="3"/>
    <s v="plays"/>
  </r>
  <r>
    <n v="204"/>
    <s v="Daniel-Luna"/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s v="music/jazz"/>
    <x v="1"/>
    <s v="jazz"/>
  </r>
  <r>
    <n v="205"/>
    <s v="Weaver-Marquez"/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s v="theater/plays"/>
    <x v="3"/>
    <s v="plays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s v="publishing/fiction"/>
    <x v="5"/>
    <s v="fiction"/>
  </r>
  <r>
    <n v="207"/>
    <s v="Carney-Anderson"/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s v="music/rock"/>
    <x v="1"/>
    <s v="rock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s v="film &amp; video/documentary"/>
    <x v="4"/>
    <s v="documentary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s v="film &amp; video/documentary"/>
    <x v="4"/>
    <s v="documentary"/>
  </r>
  <r>
    <n v="210"/>
    <s v="Schultz Inc"/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s v="theater/plays"/>
    <x v="3"/>
    <s v="plays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s v="theater/plays"/>
    <x v="3"/>
    <s v="plays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s v="music/indie rock"/>
    <x v="1"/>
    <s v="indie rock"/>
  </r>
  <r>
    <n v="214"/>
    <s v="Sullivan Group"/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s v="music/rock"/>
    <x v="1"/>
    <s v="rock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s v="theater/plays"/>
    <x v="3"/>
    <s v="plays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s v="theater/plays"/>
    <x v="3"/>
    <s v="plays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s v="film &amp; video/science fiction"/>
    <x v="4"/>
    <s v="science fiction"/>
  </r>
  <r>
    <n v="218"/>
    <s v="Price-Rodriguez"/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s v="film &amp; video/shorts"/>
    <x v="4"/>
    <s v="shorts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s v="film &amp; video/animation"/>
    <x v="4"/>
    <s v="animation"/>
  </r>
  <r>
    <n v="220"/>
    <s v="Owens-Le"/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s v="theater/plays"/>
    <x v="3"/>
    <s v="plays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s v="food/food trucks"/>
    <x v="0"/>
    <s v="food trucks"/>
  </r>
  <r>
    <n v="222"/>
    <s v="Johnson LLC"/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s v="theater/plays"/>
    <x v="3"/>
    <s v="plays"/>
  </r>
  <r>
    <n v="224"/>
    <s v="Lester-Moore"/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s v="film &amp; video/science fiction"/>
    <x v="4"/>
    <s v="science fiction"/>
  </r>
  <r>
    <n v="225"/>
    <s v="Fox-Quinn"/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s v="music/rock"/>
    <x v="1"/>
    <s v="rock"/>
  </r>
  <r>
    <n v="226"/>
    <s v="Garcia Inc"/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s v="games/mobile games"/>
    <x v="6"/>
    <s v="mobile games"/>
  </r>
  <r>
    <n v="228"/>
    <s v="Pineda Group"/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s v="film &amp; video/animation"/>
    <x v="4"/>
    <s v="animation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s v="games/mobile games"/>
    <x v="6"/>
    <s v="mobile games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s v="games/video games"/>
    <x v="6"/>
    <s v="video games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s v="theater/plays"/>
    <x v="3"/>
    <s v="plays"/>
  </r>
  <r>
    <n v="232"/>
    <s v="Davis-Rodriguez"/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s v="theater/plays"/>
    <x v="3"/>
    <s v="plays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s v="film &amp; video/animation"/>
    <x v="4"/>
    <s v="animation"/>
  </r>
  <r>
    <n v="234"/>
    <s v="Mendoza-Parker"/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s v="games/video games"/>
    <x v="6"/>
    <s v="video games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s v="film &amp; video/animation"/>
    <x v="4"/>
    <s v="animation"/>
  </r>
  <r>
    <n v="236"/>
    <s v="Gallegos-Cobb"/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s v="music/rock"/>
    <x v="1"/>
    <s v="rock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s v="film &amp; video/animation"/>
    <x v="4"/>
    <s v="animation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s v="theater/plays"/>
    <x v="3"/>
    <s v="plays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s v="technology/wearables"/>
    <x v="2"/>
    <s v="wearables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s v="theater/plays"/>
    <x v="3"/>
    <s v="plays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s v="publishing/nonfiction"/>
    <x v="5"/>
    <s v="nonfiction"/>
  </r>
  <r>
    <n v="242"/>
    <s v="Hill, Martin and Garcia"/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s v="music/rock"/>
    <x v="1"/>
    <s v="rock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s v="theater/plays"/>
    <x v="3"/>
    <s v="plays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s v="theater/plays"/>
    <x v="3"/>
    <s v="plays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s v="theater/plays"/>
    <x v="3"/>
    <s v="plays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s v="technology/web"/>
    <x v="2"/>
    <s v="web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s v="publishing/fiction"/>
    <x v="5"/>
    <s v="fiction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s v="games/mobile games"/>
    <x v="6"/>
    <s v="mobile games"/>
  </r>
  <r>
    <n v="249"/>
    <s v="Avila-Nelson"/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s v="publishing/translations"/>
    <x v="5"/>
    <s v="translations"/>
  </r>
  <r>
    <n v="250"/>
    <s v="Robbins and Sons"/>
    <s v="Future-proofed directional synergy"/>
    <n v="100"/>
    <n v="3"/>
    <n v="0.03"/>
    <x v="0"/>
    <n v="1"/>
    <n v="3"/>
    <x v="1"/>
    <s v="USD"/>
    <n v="1264399200"/>
    <n v="1267423200"/>
    <b v="0"/>
    <b v="0"/>
    <s v="music/rock"/>
    <x v="1"/>
    <s v="rock"/>
  </r>
  <r>
    <n v="251"/>
    <s v="Singleton Ltd"/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s v="theater/plays"/>
    <x v="3"/>
    <s v="plays"/>
  </r>
  <r>
    <n v="252"/>
    <s v="Perez PLC"/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s v="theater/plays"/>
    <x v="3"/>
    <s v="plays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s v="film &amp; video/drama"/>
    <x v="4"/>
    <s v="drama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s v="music/rock"/>
    <x v="1"/>
    <s v="rock"/>
  </r>
  <r>
    <n v="256"/>
    <s v="Smith-Reid"/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s v="music/rock"/>
    <x v="1"/>
    <s v="rock"/>
  </r>
  <r>
    <n v="257"/>
    <s v="Williams Inc"/>
    <s v="Decentralized exuding strategy"/>
    <n v="5700"/>
    <n v="8322"/>
    <n v="1.46"/>
    <x v="1"/>
    <n v="92"/>
    <n v="90.456521739130437"/>
    <x v="1"/>
    <s v="USD"/>
    <n v="1362463200"/>
    <n v="1363669200"/>
    <b v="0"/>
    <b v="0"/>
    <s v="theater/plays"/>
    <x v="3"/>
    <s v="plays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s v="theater/plays"/>
    <x v="3"/>
    <s v="plays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s v="photography/photography books"/>
    <x v="7"/>
    <s v="photography books"/>
  </r>
  <r>
    <n v="260"/>
    <s v="Allen-Jones"/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s v="music/rock"/>
    <x v="1"/>
    <s v="rock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s v="music/rock"/>
    <x v="1"/>
    <s v="rock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s v="music/indie rock"/>
    <x v="1"/>
    <s v="indie rock"/>
  </r>
  <r>
    <n v="263"/>
    <s v="Walker Ltd"/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s v="photography/photography books"/>
    <x v="7"/>
    <s v="photography books"/>
  </r>
  <r>
    <n v="264"/>
    <s v="Gordon PLC"/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s v="theater/plays"/>
    <x v="3"/>
    <s v="plays"/>
  </r>
  <r>
    <n v="265"/>
    <s v="Lee and Sons"/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s v="theater/plays"/>
    <x v="3"/>
    <s v="plays"/>
  </r>
  <r>
    <n v="266"/>
    <s v="Cole LLC"/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s v="music/jazz"/>
    <x v="1"/>
    <s v="jazz"/>
  </r>
  <r>
    <n v="267"/>
    <s v="Acosta PLC"/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s v="theater/plays"/>
    <x v="3"/>
    <s v="plays"/>
  </r>
  <r>
    <n v="268"/>
    <s v="Brown-Mckee"/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s v="film &amp; video/documentary"/>
    <x v="4"/>
    <s v="documentary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s v="theater/plays"/>
    <x v="3"/>
    <s v="plays"/>
  </r>
  <r>
    <n v="273"/>
    <s v="Thomas and Sons"/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s v="theater/plays"/>
    <x v="3"/>
    <s v="plays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s v="theater/plays"/>
    <x v="3"/>
    <s v="plays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s v="publishing/translations"/>
    <x v="5"/>
    <s v="translations"/>
  </r>
  <r>
    <n v="276"/>
    <s v="Fields Ltd"/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s v="games/video games"/>
    <x v="6"/>
    <s v="video games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s v="theater/plays"/>
    <x v="3"/>
    <s v="plays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s v="technology/web"/>
    <x v="2"/>
    <s v="web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s v="theater/plays"/>
    <x v="3"/>
    <s v="plays"/>
  </r>
  <r>
    <n v="280"/>
    <s v="Braun PLC"/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s v="film &amp; video/animation"/>
    <x v="4"/>
    <s v="animation"/>
  </r>
  <r>
    <n v="281"/>
    <s v="Drake PLC"/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s v="theater/plays"/>
    <x v="3"/>
    <s v="plays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s v="film &amp; video/television"/>
    <x v="4"/>
    <s v="television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s v="music/rock"/>
    <x v="1"/>
    <s v="rock"/>
  </r>
  <r>
    <n v="284"/>
    <s v="Tran LLC"/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s v="technology/web"/>
    <x v="2"/>
    <s v="web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s v="theater/plays"/>
    <x v="3"/>
    <s v="plays"/>
  </r>
  <r>
    <n v="286"/>
    <s v="Obrien-Aguirre"/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s v="theater/plays"/>
    <x v="3"/>
    <s v="plays"/>
  </r>
  <r>
    <n v="287"/>
    <s v="Ferguson PLC"/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s v="music/electric music"/>
    <x v="1"/>
    <s v="electric music"/>
  </r>
  <r>
    <n v="288"/>
    <s v="Garcia Ltd"/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s v="music/metal"/>
    <x v="1"/>
    <s v="metal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s v="theater/plays"/>
    <x v="3"/>
    <s v="plays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s v="film &amp; video/documentary"/>
    <x v="4"/>
    <s v="documentary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s v="technology/web"/>
    <x v="2"/>
    <s v="web"/>
  </r>
  <r>
    <n v="292"/>
    <s v="Ho-Harris"/>
    <s v="Versatile cohesive encoding"/>
    <n v="7300"/>
    <n v="717"/>
    <n v="9.8219178082191785E-2"/>
    <x v="0"/>
    <n v="10"/>
    <n v="71.7"/>
    <x v="1"/>
    <s v="USD"/>
    <n v="1331874000"/>
    <n v="1333429200"/>
    <b v="0"/>
    <b v="0"/>
    <s v="food/food trucks"/>
    <x v="0"/>
    <s v="food trucks"/>
  </r>
  <r>
    <n v="293"/>
    <s v="Ross Group"/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s v="theater/plays"/>
    <x v="3"/>
    <s v="plays"/>
  </r>
  <r>
    <n v="294"/>
    <s v="Turner-Davis"/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s v="theater/plays"/>
    <x v="3"/>
    <s v="plays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s v="theater/plays"/>
    <x v="3"/>
    <s v="plays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s v="theater/plays"/>
    <x v="3"/>
    <s v="plays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s v="theater/plays"/>
    <x v="3"/>
    <s v="plays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s v="music/rock"/>
    <x v="1"/>
    <s v="rock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s v="food/food trucks"/>
    <x v="0"/>
    <s v="food trucks"/>
  </r>
  <r>
    <n v="300"/>
    <s v="Cooke PLC"/>
    <s v="Focused executive core"/>
    <n v="100"/>
    <n v="5"/>
    <n v="0.05"/>
    <x v="0"/>
    <n v="1"/>
    <n v="5"/>
    <x v="3"/>
    <s v="DKK"/>
    <n v="1504069200"/>
    <n v="1504155600"/>
    <b v="0"/>
    <b v="1"/>
    <s v="publishing/nonfiction"/>
    <x v="5"/>
    <s v="nonfiction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s v="theater/plays"/>
    <x v="3"/>
    <s v="plays"/>
  </r>
  <r>
    <n v="303"/>
    <s v="Guerrero, Flores and Jenkins"/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s v="music/indie rock"/>
    <x v="1"/>
    <s v="indie rock"/>
  </r>
  <r>
    <n v="304"/>
    <s v="Peterson PLC"/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s v="film &amp; video/documentary"/>
    <x v="4"/>
    <s v="documentary"/>
  </r>
  <r>
    <n v="305"/>
    <s v="Townsend Ltd"/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s v="theater/plays"/>
    <x v="3"/>
    <s v="plays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s v="publishing/fiction"/>
    <x v="5"/>
    <s v="fiction"/>
  </r>
  <r>
    <n v="308"/>
    <s v="Davis Ltd"/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s v="theater/plays"/>
    <x v="3"/>
    <s v="plays"/>
  </r>
  <r>
    <n v="309"/>
    <s v="Harris-Perry"/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s v="music/indie rock"/>
    <x v="1"/>
    <s v="indie rock"/>
  </r>
  <r>
    <n v="310"/>
    <s v="Velazquez, Hunt and Ortiz"/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s v="games/video games"/>
    <x v="6"/>
    <s v="video games"/>
  </r>
  <r>
    <n v="311"/>
    <s v="Flores PLC"/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s v="theater/plays"/>
    <x v="3"/>
    <s v="plays"/>
  </r>
  <r>
    <n v="312"/>
    <s v="Martinez LLC"/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s v="theater/plays"/>
    <x v="3"/>
    <s v="plays"/>
  </r>
  <r>
    <n v="313"/>
    <s v="Miller-Irwin"/>
    <s v="Secured maximized policy"/>
    <n v="2200"/>
    <n v="8697"/>
    <n v="3.9531818181818181"/>
    <x v="1"/>
    <n v="223"/>
    <n v="39"/>
    <x v="1"/>
    <s v="USD"/>
    <n v="1330322400"/>
    <n v="1330495200"/>
    <b v="0"/>
    <b v="0"/>
    <s v="music/rock"/>
    <x v="1"/>
    <s v="rock"/>
  </r>
  <r>
    <n v="314"/>
    <s v="Sanchez-Morgan"/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s v="theater/plays"/>
    <x v="3"/>
    <s v="plays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s v="food/food trucks"/>
    <x v="0"/>
    <s v="food trucks"/>
  </r>
  <r>
    <n v="317"/>
    <s v="Summers PLC"/>
    <s v="Cross-group coherent hierarchy"/>
    <n v="6600"/>
    <n v="1269"/>
    <n v="0.19227272727272726"/>
    <x v="0"/>
    <n v="30"/>
    <n v="42.3"/>
    <x v="1"/>
    <s v="USD"/>
    <n v="1494738000"/>
    <n v="1495861200"/>
    <b v="0"/>
    <b v="0"/>
    <s v="theater/plays"/>
    <x v="3"/>
    <s v="plays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s v="music/rock"/>
    <x v="1"/>
    <s v="rock"/>
  </r>
  <r>
    <n v="319"/>
    <s v="Mills Group"/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s v="technology/web"/>
    <x v="2"/>
    <s v="web"/>
  </r>
  <r>
    <n v="320"/>
    <s v="Sandoval-Powell"/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s v="publishing/fiction"/>
    <x v="5"/>
    <s v="fiction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s v="film &amp; video/shorts"/>
    <x v="4"/>
    <s v="shorts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s v="theater/plays"/>
    <x v="3"/>
    <s v="plays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s v="film &amp; video/documentary"/>
    <x v="4"/>
    <s v="documentary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s v="theater/plays"/>
    <x v="3"/>
    <s v="plays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s v="theater/plays"/>
    <x v="3"/>
    <s v="plays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s v="film &amp; video/animation"/>
    <x v="4"/>
    <s v="animation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s v="theater/plays"/>
    <x v="3"/>
    <s v="plays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s v="music/rock"/>
    <x v="1"/>
    <s v="rock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s v="games/video games"/>
    <x v="6"/>
    <s v="video games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s v="film &amp; video/documentary"/>
    <x v="4"/>
    <s v="documentary"/>
  </r>
  <r>
    <n v="331"/>
    <s v="Rose-Silva"/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s v="food/food trucks"/>
    <x v="0"/>
    <s v="food trucks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s v="technology/wearables"/>
    <x v="2"/>
    <s v="wearables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s v="theater/plays"/>
    <x v="3"/>
    <s v="plays"/>
  </r>
  <r>
    <n v="334"/>
    <s v="Mcgee Group"/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s v="music/rock"/>
    <x v="1"/>
    <s v="rock"/>
  </r>
  <r>
    <n v="335"/>
    <s v="Jordan-Acosta"/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s v="music/rock"/>
    <x v="1"/>
    <s v="rock"/>
  </r>
  <r>
    <n v="336"/>
    <s v="Nunez Inc"/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s v="music/rock"/>
    <x v="1"/>
    <s v="rock"/>
  </r>
  <r>
    <n v="337"/>
    <s v="Hayden Ltd"/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s v="theater/plays"/>
    <x v="3"/>
    <s v="plays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s v="theater/plays"/>
    <x v="3"/>
    <s v="plays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s v="theater/plays"/>
    <x v="3"/>
    <s v="plays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s v="music/indie rock"/>
    <x v="1"/>
    <s v="indie rock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s v="theater/plays"/>
    <x v="3"/>
    <s v="plays"/>
  </r>
  <r>
    <n v="343"/>
    <s v="Spencer-Weber"/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s v="theater/plays"/>
    <x v="3"/>
    <s v="plays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s v="games/video games"/>
    <x v="6"/>
    <s v="video games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s v="film &amp; video/drama"/>
    <x v="4"/>
    <s v="drama"/>
  </r>
  <r>
    <n v="346"/>
    <s v="Little-Marsh"/>
    <s v="Virtual attitude-oriented migration"/>
    <n v="8000"/>
    <n v="2758"/>
    <n v="0.34475"/>
    <x v="0"/>
    <n v="25"/>
    <n v="110.32"/>
    <x v="1"/>
    <s v="USD"/>
    <n v="1503550800"/>
    <n v="1508302800"/>
    <b v="0"/>
    <b v="1"/>
    <s v="music/indie rock"/>
    <x v="1"/>
    <s v="indie rock"/>
  </r>
  <r>
    <n v="347"/>
    <s v="Petersen and Sons"/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s v="technology/web"/>
    <x v="2"/>
    <s v="web"/>
  </r>
  <r>
    <n v="348"/>
    <s v="Hensley Ltd"/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s v="food/food trucks"/>
    <x v="0"/>
    <s v="food trucks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s v="theater/plays"/>
    <x v="3"/>
    <s v="plays"/>
  </r>
  <r>
    <n v="350"/>
    <s v="Shannon Ltd"/>
    <s v="Pre-emptive neutral capacity"/>
    <n v="100"/>
    <n v="5"/>
    <n v="0.05"/>
    <x v="0"/>
    <n v="1"/>
    <n v="5"/>
    <x v="1"/>
    <s v="USD"/>
    <n v="1432098000"/>
    <n v="1433653200"/>
    <b v="0"/>
    <b v="1"/>
    <s v="music/jazz"/>
    <x v="1"/>
    <s v="jazz"/>
  </r>
  <r>
    <n v="351"/>
    <s v="Young LLC"/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s v="music/rock"/>
    <x v="1"/>
    <s v="rock"/>
  </r>
  <r>
    <n v="352"/>
    <s v="Adams, Willis and Sanchez"/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s v="theater/plays"/>
    <x v="3"/>
    <s v="plays"/>
  </r>
  <r>
    <n v="353"/>
    <s v="Mills-Roy"/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s v="theater/plays"/>
    <x v="3"/>
    <s v="plays"/>
  </r>
  <r>
    <n v="354"/>
    <s v="Brown Group"/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s v="film &amp; video/documentary"/>
    <x v="4"/>
    <s v="documentary"/>
  </r>
  <r>
    <n v="355"/>
    <s v="Burns-Burnett"/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s v="technology/wearables"/>
    <x v="2"/>
    <s v="wearables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s v="theater/plays"/>
    <x v="3"/>
    <s v="plays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s v="games/video games"/>
    <x v="6"/>
    <s v="video games"/>
  </r>
  <r>
    <n v="358"/>
    <s v="Diaz-Garcia"/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s v="photography/photography books"/>
    <x v="7"/>
    <s v="photography books"/>
  </r>
  <r>
    <n v="359"/>
    <s v="Salazar-Moon"/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s v="film &amp; video/animation"/>
    <x v="4"/>
    <s v="animation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s v="theater/plays"/>
    <x v="3"/>
    <s v="plays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s v="theater/plays"/>
    <x v="3"/>
    <s v="plays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s v="music/rock"/>
    <x v="1"/>
    <s v="rock"/>
  </r>
  <r>
    <n v="363"/>
    <s v="Gray-Davis"/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s v="music/rock"/>
    <x v="1"/>
    <s v="rock"/>
  </r>
  <r>
    <n v="364"/>
    <s v="Ramirez-Myers"/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s v="music/indie rock"/>
    <x v="1"/>
    <s v="indie rock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s v="theater/plays"/>
    <x v="3"/>
    <s v="plays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s v="theater/plays"/>
    <x v="3"/>
    <s v="plays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s v="theater/plays"/>
    <x v="3"/>
    <s v="plays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s v="film &amp; video/documentary"/>
    <x v="4"/>
    <s v="documentary"/>
  </r>
  <r>
    <n v="369"/>
    <s v="Smith-Gonzalez"/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s v="film &amp; video/television"/>
    <x v="4"/>
    <s v="television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s v="theater/plays"/>
    <x v="3"/>
    <s v="plays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s v="theater/plays"/>
    <x v="3"/>
    <s v="plays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s v="film &amp; video/documentary"/>
    <x v="4"/>
    <s v="documentary"/>
  </r>
  <r>
    <n v="373"/>
    <s v="Brown-Parker"/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s v="theater/plays"/>
    <x v="3"/>
    <s v="plays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s v="film &amp; video/documentary"/>
    <x v="4"/>
    <s v="documentary"/>
  </r>
  <r>
    <n v="375"/>
    <s v="Leblanc-Pineda"/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s v="music/indie rock"/>
    <x v="1"/>
    <s v="indie rock"/>
  </r>
  <r>
    <n v="376"/>
    <s v="Perry PLC"/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s v="music/rock"/>
    <x v="1"/>
    <s v="rock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s v="theater/plays"/>
    <x v="3"/>
    <s v="plays"/>
  </r>
  <r>
    <n v="378"/>
    <s v="Fleming-Oliver"/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s v="theater/plays"/>
    <x v="3"/>
    <s v="plays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s v="theater/plays"/>
    <x v="3"/>
    <s v="plays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s v="theater/plays"/>
    <x v="3"/>
    <s v="plays"/>
  </r>
  <r>
    <n v="382"/>
    <s v="King Ltd"/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s v="photography/photography books"/>
    <x v="7"/>
    <s v="photography books"/>
  </r>
  <r>
    <n v="383"/>
    <s v="Baker Ltd"/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s v="food/food trucks"/>
    <x v="0"/>
    <s v="food trucks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s v="film &amp; video/documentary"/>
    <x v="4"/>
    <s v="documentary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s v="publishing/nonfiction"/>
    <x v="5"/>
    <s v="nonfiction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s v="theater/plays"/>
    <x v="3"/>
    <s v="plays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s v="technology/wearables"/>
    <x v="2"/>
    <s v="wearables"/>
  </r>
  <r>
    <n v="388"/>
    <s v="Cruz Ltd"/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s v="music/indie rock"/>
    <x v="1"/>
    <s v="indie rock"/>
  </r>
  <r>
    <n v="389"/>
    <s v="Knox-Garner"/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s v="theater/plays"/>
    <x v="3"/>
    <s v="plays"/>
  </r>
  <r>
    <n v="390"/>
    <s v="Davis-Allen"/>
    <s v="Digitized eco-centric core"/>
    <n v="2400"/>
    <n v="4477"/>
    <n v="1.8654166666666667"/>
    <x v="1"/>
    <n v="50"/>
    <n v="89.54"/>
    <x v="1"/>
    <s v="USD"/>
    <n v="1379048400"/>
    <n v="13803444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s v="publishing/nonfiction"/>
    <x v="5"/>
    <s v="nonfiction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s v="technology/wearables"/>
    <x v="2"/>
    <s v="wearables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s v="music/jazz"/>
    <x v="1"/>
    <s v="jazz"/>
  </r>
  <r>
    <n v="394"/>
    <s v="Noble-Bailey"/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s v="film &amp; video/documentary"/>
    <x v="4"/>
    <s v="documentary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s v="theater/plays"/>
    <x v="3"/>
    <s v="plays"/>
  </r>
  <r>
    <n v="396"/>
    <s v="Holmes PLC"/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s v="film &amp; video/drama"/>
    <x v="4"/>
    <s v="drama"/>
  </r>
  <r>
    <n v="397"/>
    <s v="Jones-Martin"/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s v="music/rock"/>
    <x v="1"/>
    <s v="rock"/>
  </r>
  <r>
    <n v="398"/>
    <s v="Myers LLC"/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s v="film &amp; video/animation"/>
    <x v="4"/>
    <s v="animation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s v="music/indie rock"/>
    <x v="1"/>
    <s v="indie rock"/>
  </r>
  <r>
    <n v="400"/>
    <s v="Bell PLC"/>
    <s v="Ergonomic eco-centric open architecture"/>
    <n v="100"/>
    <n v="2"/>
    <n v="0.02"/>
    <x v="0"/>
    <n v="1"/>
    <n v="2"/>
    <x v="1"/>
    <s v="USD"/>
    <n v="1376629200"/>
    <n v="1378530000"/>
    <b v="0"/>
    <b v="1"/>
    <s v="photography/photography books"/>
    <x v="7"/>
    <s v="photography books"/>
  </r>
  <r>
    <n v="401"/>
    <s v="Smith-Schmidt"/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s v="theater/plays"/>
    <x v="3"/>
    <s v="plays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s v="film &amp; video/shorts"/>
    <x v="4"/>
    <s v="shorts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s v="theater/plays"/>
    <x v="3"/>
    <s v="plays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s v="theater/plays"/>
    <x v="3"/>
    <s v="plays"/>
  </r>
  <r>
    <n v="405"/>
    <s v="Lee LLC"/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s v="theater/plays"/>
    <x v="3"/>
    <s v="plays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s v="film &amp; video/documentary"/>
    <x v="4"/>
    <s v="documentary"/>
  </r>
  <r>
    <n v="407"/>
    <s v="Herrera-Wilson"/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s v="theater/plays"/>
    <x v="3"/>
    <s v="plays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s v="film &amp; video/documentary"/>
    <x v="4"/>
    <s v="documentary"/>
  </r>
  <r>
    <n v="409"/>
    <s v="Stewart LLC"/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s v="music/rock"/>
    <x v="1"/>
    <s v="rock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s v="games/mobile games"/>
    <x v="6"/>
    <s v="mobile games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s v="theater/plays"/>
    <x v="3"/>
    <s v="plays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s v="publishing/fiction"/>
    <x v="5"/>
    <s v="fiction"/>
  </r>
  <r>
    <n v="413"/>
    <s v="Rush-Bowers"/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s v="film &amp; video/animation"/>
    <x v="4"/>
    <s v="animation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s v="food/food trucks"/>
    <x v="0"/>
    <s v="food trucks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s v="theater/plays"/>
    <x v="3"/>
    <s v="plays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s v="film &amp; video/documentary"/>
    <x v="4"/>
    <s v="documentary"/>
  </r>
  <r>
    <n v="417"/>
    <s v="Bradshaw, Smith and Ryan"/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s v="theater/plays"/>
    <x v="3"/>
    <s v="plays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s v="film &amp; video/documentary"/>
    <x v="4"/>
    <s v="documentary"/>
  </r>
  <r>
    <n v="419"/>
    <s v="Ware-Arias"/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s v="technology/web"/>
    <x v="2"/>
    <s v="web"/>
  </r>
  <r>
    <n v="420"/>
    <s v="Blair, Reyes and Woods"/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s v="theater/plays"/>
    <x v="3"/>
    <s v="plays"/>
  </r>
  <r>
    <n v="421"/>
    <s v="Thomas-Lopez"/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s v="theater/plays"/>
    <x v="3"/>
    <s v="plays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s v="food/food trucks"/>
    <x v="0"/>
    <s v="food trucks"/>
  </r>
  <r>
    <n v="424"/>
    <s v="Schmidt-Gomez"/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s v="music/indie rock"/>
    <x v="1"/>
    <s v="indie rock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s v="photography/photography books"/>
    <x v="7"/>
    <s v="photography books"/>
  </r>
  <r>
    <n v="426"/>
    <s v="Edwards-Kane"/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s v="theater/plays"/>
    <x v="3"/>
    <s v="plays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s v="theater/plays"/>
    <x v="3"/>
    <s v="plays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s v="film &amp; video/animation"/>
    <x v="4"/>
    <s v="animation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s v="photography/photography books"/>
    <x v="7"/>
    <s v="photography books"/>
  </r>
  <r>
    <n v="430"/>
    <s v="Cochran Ltd"/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s v="theater/plays"/>
    <x v="3"/>
    <s v="plays"/>
  </r>
  <r>
    <n v="431"/>
    <s v="Rosales LLC"/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s v="theater/plays"/>
    <x v="3"/>
    <s v="plays"/>
  </r>
  <r>
    <n v="432"/>
    <s v="Harper-Bryan"/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s v="theater/plays"/>
    <x v="3"/>
    <s v="plays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s v="film &amp; video/documentary"/>
    <x v="4"/>
    <s v="documentary"/>
  </r>
  <r>
    <n v="434"/>
    <s v="Floyd-Sims"/>
    <s v="Cloned transitional hierarchy"/>
    <n v="5400"/>
    <n v="903"/>
    <n v="0.16722222222222222"/>
    <x v="3"/>
    <n v="10"/>
    <n v="90.3"/>
    <x v="0"/>
    <s v="CAD"/>
    <n v="1480572000"/>
    <n v="1481781600"/>
    <b v="1"/>
    <b v="0"/>
    <s v="theater/plays"/>
    <x v="3"/>
    <s v="plays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s v="theater/plays"/>
    <x v="3"/>
    <s v="plays"/>
  </r>
  <r>
    <n v="436"/>
    <s v="King-Nguyen"/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s v="music/jazz"/>
    <x v="1"/>
    <s v="jazz"/>
  </r>
  <r>
    <n v="437"/>
    <s v="Hansen Group"/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s v="theater/plays"/>
    <x v="3"/>
    <s v="plays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s v="film &amp; video/science fiction"/>
    <x v="4"/>
    <s v="science fiction"/>
  </r>
  <r>
    <n v="440"/>
    <s v="Miller-Poole"/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s v="film &amp; video/television"/>
    <x v="4"/>
    <s v="television"/>
  </r>
  <r>
    <n v="441"/>
    <s v="Rodriguez-West"/>
    <s v="Automated optimal function"/>
    <n v="7000"/>
    <n v="1744"/>
    <n v="0.24914285714285714"/>
    <x v="0"/>
    <n v="32"/>
    <n v="54.5"/>
    <x v="1"/>
    <s v="USD"/>
    <n v="1335416400"/>
    <n v="1337835600"/>
    <b v="0"/>
    <b v="0"/>
    <s v="technology/wearables"/>
    <x v="2"/>
    <s v="wearables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s v="theater/plays"/>
    <x v="3"/>
    <s v="plays"/>
  </r>
  <r>
    <n v="443"/>
    <s v="Clark-Bowman"/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s v="theater/plays"/>
    <x v="3"/>
    <s v="plays"/>
  </r>
  <r>
    <n v="444"/>
    <s v="Hensley Ltd"/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s v="music/indie rock"/>
    <x v="1"/>
    <s v="indie rock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s v="theater/plays"/>
    <x v="3"/>
    <s v="plays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s v="technology/wearables"/>
    <x v="2"/>
    <s v="wearables"/>
  </r>
  <r>
    <n v="447"/>
    <s v="Harrington-Harper"/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s v="film &amp; video/television"/>
    <x v="4"/>
    <s v="television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s v="games/video games"/>
    <x v="6"/>
    <s v="video games"/>
  </r>
  <r>
    <n v="449"/>
    <s v="Cuevas-Morales"/>
    <s v="Public-key coherent ability"/>
    <n v="900"/>
    <n v="8703"/>
    <n v="9.67"/>
    <x v="1"/>
    <n v="86"/>
    <n v="101.19767441860465"/>
    <x v="3"/>
    <s v="DKK"/>
    <n v="1551852000"/>
    <n v="1553317200"/>
    <b v="0"/>
    <b v="0"/>
    <s v="games/video games"/>
    <x v="6"/>
    <s v="video games"/>
  </r>
  <r>
    <n v="450"/>
    <s v="Delgado-Hatfield"/>
    <s v="Up-sized composite success"/>
    <n v="100"/>
    <n v="4"/>
    <n v="0.04"/>
    <x v="0"/>
    <n v="1"/>
    <n v="4"/>
    <x v="0"/>
    <s v="CAD"/>
    <n v="1540098000"/>
    <n v="1542088800"/>
    <b v="0"/>
    <b v="0"/>
    <s v="film &amp; video/animation"/>
    <x v="4"/>
    <s v="animation"/>
  </r>
  <r>
    <n v="451"/>
    <s v="Padilla-Porter"/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s v="music/rock"/>
    <x v="1"/>
    <s v="rock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s v="film &amp; video/drama"/>
    <x v="4"/>
    <s v="drama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s v="film &amp; video/science fiction"/>
    <x v="4"/>
    <s v="science fiction"/>
  </r>
  <r>
    <n v="454"/>
    <s v="Woods Inc"/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s v="film &amp; video/drama"/>
    <x v="4"/>
    <s v="drama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s v="theater/plays"/>
    <x v="3"/>
    <s v="plays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s v="music/indie rock"/>
    <x v="1"/>
    <s v="indie rock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s v="theater/plays"/>
    <x v="3"/>
    <s v="plays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s v="theater/plays"/>
    <x v="3"/>
    <s v="plays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s v="film &amp; video/documentary"/>
    <x v="4"/>
    <s v="documentary"/>
  </r>
  <r>
    <n v="460"/>
    <s v="Rich, Alvarez and King"/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s v="theater/plays"/>
    <x v="3"/>
    <s v="plays"/>
  </r>
  <r>
    <n v="461"/>
    <s v="Terry-Salinas"/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s v="film &amp; video/drama"/>
    <x v="4"/>
    <s v="drama"/>
  </r>
  <r>
    <n v="462"/>
    <s v="Wang-Rodriguez"/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s v="games/mobile games"/>
    <x v="6"/>
    <s v="mobile games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s v="film &amp; video/animation"/>
    <x v="4"/>
    <s v="animation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s v="theater/plays"/>
    <x v="3"/>
    <s v="plays"/>
  </r>
  <r>
    <n v="465"/>
    <s v="Gonzalez-Robbins"/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s v="publishing/translations"/>
    <x v="5"/>
    <s v="translations"/>
  </r>
  <r>
    <n v="466"/>
    <s v="Obrien and Sons"/>
    <s v="Pre-emptive transitional frame"/>
    <n v="1200"/>
    <n v="3984"/>
    <n v="3.32"/>
    <x v="1"/>
    <n v="42"/>
    <n v="94.857142857142861"/>
    <x v="1"/>
    <s v="USD"/>
    <n v="1368594000"/>
    <n v="1370581200"/>
    <b v="0"/>
    <b v="1"/>
    <s v="technology/wearables"/>
    <x v="2"/>
    <s v="wearables"/>
  </r>
  <r>
    <n v="467"/>
    <s v="Shaw Ltd"/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s v="technology/web"/>
    <x v="2"/>
    <s v="web"/>
  </r>
  <r>
    <n v="468"/>
    <s v="Hughes Inc"/>
    <s v="Streamlined neutral analyzer"/>
    <n v="4000"/>
    <n v="1620"/>
    <n v="0.40500000000000003"/>
    <x v="0"/>
    <n v="16"/>
    <n v="101.25"/>
    <x v="1"/>
    <s v="USD"/>
    <n v="1555218000"/>
    <n v="1556600400"/>
    <b v="0"/>
    <b v="0"/>
    <s v="theater/plays"/>
    <x v="3"/>
    <s v="plays"/>
  </r>
  <r>
    <n v="469"/>
    <s v="Olsen-Ryan"/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s v="film &amp; video/drama"/>
    <x v="4"/>
    <s v="drama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s v="technology/wearables"/>
    <x v="2"/>
    <s v="wearables"/>
  </r>
  <r>
    <n v="471"/>
    <s v="Perry and Sons"/>
    <s v="Configurable static help-desk"/>
    <n v="3100"/>
    <n v="9889"/>
    <n v="3.19"/>
    <x v="1"/>
    <n v="194"/>
    <n v="50.97422680412371"/>
    <x v="4"/>
    <s v="GBP"/>
    <n v="1335934800"/>
    <n v="1335934800"/>
    <b v="0"/>
    <b v="1"/>
    <s v="food/food trucks"/>
    <x v="0"/>
    <s v="food trucks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s v="music/rock"/>
    <x v="1"/>
    <s v="rock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s v="music/electric music"/>
    <x v="1"/>
    <s v="electric music"/>
  </r>
  <r>
    <n v="474"/>
    <s v="Santos-Young"/>
    <s v="Enhanced neutral ability"/>
    <n v="4000"/>
    <n v="14606"/>
    <n v="3.6515"/>
    <x v="1"/>
    <n v="142"/>
    <n v="102.85915492957747"/>
    <x v="1"/>
    <s v="USD"/>
    <n v="1418709600"/>
    <n v="1418796000"/>
    <b v="0"/>
    <b v="0"/>
    <s v="film &amp; video/television"/>
    <x v="4"/>
    <s v="television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s v="publishing/translations"/>
    <x v="5"/>
    <s v="translations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s v="publishing/fiction"/>
    <x v="5"/>
    <s v="fiction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s v="film &amp; video/science fiction"/>
    <x v="4"/>
    <s v="science fiction"/>
  </r>
  <r>
    <n v="478"/>
    <s v="Lyons LLC"/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s v="technology/wearables"/>
    <x v="2"/>
    <s v="wearables"/>
  </r>
  <r>
    <n v="479"/>
    <s v="Long-Greene"/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s v="food/food trucks"/>
    <x v="0"/>
    <s v="food trucks"/>
  </r>
  <r>
    <n v="480"/>
    <s v="Robles-Hudson"/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s v="theater/plays"/>
    <x v="3"/>
    <s v="plays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s v="publishing/fiction"/>
    <x v="5"/>
    <s v="fiction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s v="theater/plays"/>
    <x v="3"/>
    <s v="plays"/>
  </r>
  <r>
    <n v="484"/>
    <s v="Landry Inc"/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s v="food/food trucks"/>
    <x v="0"/>
    <s v="food trucks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s v="theater/plays"/>
    <x v="3"/>
    <s v="plays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s v="publishing/translations"/>
    <x v="5"/>
    <s v="translations"/>
  </r>
  <r>
    <n v="487"/>
    <s v="Smith-Wallace"/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s v="theater/plays"/>
    <x v="3"/>
    <s v="plays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s v="theater/plays"/>
    <x v="3"/>
    <s v="plays"/>
  </r>
  <r>
    <n v="489"/>
    <s v="Clark Inc"/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s v="technology/wearables"/>
    <x v="2"/>
    <s v="wearables"/>
  </r>
  <r>
    <n v="490"/>
    <s v="Young and Sons"/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s v="journalism/audio"/>
    <x v="8"/>
    <s v="audio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s v="food/food trucks"/>
    <x v="0"/>
    <s v="food trucks"/>
  </r>
  <r>
    <n v="492"/>
    <s v="Garcia Group"/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s v="film &amp; video/shorts"/>
    <x v="4"/>
    <s v="shorts"/>
  </r>
  <r>
    <n v="493"/>
    <s v="Adams, Walker and Wong"/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s v="technology/wearables"/>
    <x v="2"/>
    <s v="wearables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s v="theater/plays"/>
    <x v="3"/>
    <s v="plays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s v="film &amp; video/animation"/>
    <x v="4"/>
    <s v="animation"/>
  </r>
  <r>
    <n v="497"/>
    <s v="Lucero Group"/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s v="technology/wearables"/>
    <x v="2"/>
    <s v="wearables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s v="technology/web"/>
    <x v="2"/>
    <s v="web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s v="0"/>
    <x v="1"/>
    <s v="USD"/>
    <n v="1367384400"/>
    <n v="1369803600"/>
    <b v="0"/>
    <b v="1"/>
    <s v="theater/plays"/>
    <x v="3"/>
    <s v="plays"/>
  </r>
  <r>
    <n v="501"/>
    <s v="Mccann-Le"/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s v="film &amp; video/documentary"/>
    <x v="4"/>
    <s v="documentary"/>
  </r>
  <r>
    <n v="502"/>
    <s v="Johnson Inc"/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s v="games/video games"/>
    <x v="6"/>
    <s v="video games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s v="film &amp; video/drama"/>
    <x v="4"/>
    <s v="drama"/>
  </r>
  <r>
    <n v="504"/>
    <s v="Smith-Miller"/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s v="music/rock"/>
    <x v="1"/>
    <s v="rock"/>
  </r>
  <r>
    <n v="505"/>
    <s v="Jensen-Vargas"/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s v="theater/plays"/>
    <x v="3"/>
    <s v="plays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s v="technology/web"/>
    <x v="2"/>
    <s v="web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s v="theater/plays"/>
    <x v="3"/>
    <s v="plays"/>
  </r>
  <r>
    <n v="509"/>
    <s v="White LLC"/>
    <s v="Robust zero-defect project"/>
    <n v="168500"/>
    <n v="119510"/>
    <n v="0.70925816023738875"/>
    <x v="0"/>
    <n v="1258"/>
    <n v="95"/>
    <x v="1"/>
    <s v="USD"/>
    <n v="1336194000"/>
    <n v="1337058000"/>
    <b v="0"/>
    <b v="0"/>
    <s v="theater/plays"/>
    <x v="3"/>
    <s v="plays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s v="film &amp; video/drama"/>
    <x v="4"/>
    <s v="drama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s v="theater/plays"/>
    <x v="3"/>
    <s v="plays"/>
  </r>
  <r>
    <n v="512"/>
    <s v="Williams-Walsh"/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s v="games/video games"/>
    <x v="6"/>
    <s v="video games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s v="music/rock"/>
    <x v="1"/>
    <s v="rock"/>
  </r>
  <r>
    <n v="515"/>
    <s v="Cox LLC"/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s v="theater/plays"/>
    <x v="3"/>
    <s v="plays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s v="publishing/nonfiction"/>
    <x v="5"/>
    <s v="nonfiction"/>
  </r>
  <r>
    <n v="517"/>
    <s v="Ramirez LLC"/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s v="food/food trucks"/>
    <x v="0"/>
    <s v="food trucks"/>
  </r>
  <r>
    <n v="518"/>
    <s v="Ramirez Group"/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s v="film &amp; video/animation"/>
    <x v="4"/>
    <s v="animation"/>
  </r>
  <r>
    <n v="519"/>
    <s v="Marsh-Coleman"/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s v="music/rock"/>
    <x v="1"/>
    <s v="rock"/>
  </r>
  <r>
    <n v="520"/>
    <s v="Frederick, Jenkins and Collins"/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s v="theater/plays"/>
    <x v="3"/>
    <s v="plays"/>
  </r>
  <r>
    <n v="521"/>
    <s v="Wilson Ltd"/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s v="film &amp; video/drama"/>
    <x v="4"/>
    <s v="drama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s v="film &amp; video/shorts"/>
    <x v="4"/>
    <s v="shorts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s v="film &amp; video/shorts"/>
    <x v="4"/>
    <s v="shorts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s v="theater/plays"/>
    <x v="3"/>
    <s v="plays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s v="technology/wearables"/>
    <x v="2"/>
    <s v="wearables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s v="theater/plays"/>
    <x v="3"/>
    <s v="plays"/>
  </r>
  <r>
    <n v="527"/>
    <s v="Rosario-Smith"/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s v="film &amp; video/animation"/>
    <x v="4"/>
    <s v="animation"/>
  </r>
  <r>
    <n v="528"/>
    <s v="Avila, Ford and Welch"/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s v="music/indie rock"/>
    <x v="1"/>
    <s v="indie rock"/>
  </r>
  <r>
    <n v="529"/>
    <s v="Gallegos Inc"/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s v="games/video games"/>
    <x v="6"/>
    <s v="video games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s v="publishing/fiction"/>
    <x v="5"/>
    <s v="fiction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s v="games/video games"/>
    <x v="6"/>
    <s v="video games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s v="theater/plays"/>
    <x v="3"/>
    <s v="plays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s v="music/indie rock"/>
    <x v="1"/>
    <s v="indie rock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s v="film &amp; video/drama"/>
    <x v="4"/>
    <s v="drama"/>
  </r>
  <r>
    <n v="535"/>
    <s v="Garrison LLC"/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s v="theater/plays"/>
    <x v="3"/>
    <s v="plays"/>
  </r>
  <r>
    <n v="536"/>
    <s v="Shannon-Olson"/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s v="publishing/fiction"/>
    <x v="5"/>
    <s v="fiction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s v="games/mobile games"/>
    <x v="6"/>
    <s v="mobile games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s v="food/food trucks"/>
    <x v="0"/>
    <s v="food trucks"/>
  </r>
  <r>
    <n v="540"/>
    <s v="Brown-Pena"/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s v="games/mobile games"/>
    <x v="6"/>
    <s v="mobile games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s v="music/indie rock"/>
    <x v="1"/>
    <s v="indie rock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s v="games/video games"/>
    <x v="6"/>
    <s v="video games"/>
  </r>
  <r>
    <n v="544"/>
    <s v="Taylor Inc"/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s v="music/rock"/>
    <x v="1"/>
    <s v="rock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s v="theater/plays"/>
    <x v="3"/>
    <s v="plays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s v="theater/plays"/>
    <x v="3"/>
    <s v="plays"/>
  </r>
  <r>
    <n v="547"/>
    <s v="Hardin-Dixon"/>
    <s v="Focused solution-oriented matrix"/>
    <n v="1300"/>
    <n v="12597"/>
    <n v="9.69"/>
    <x v="1"/>
    <n v="156"/>
    <n v="80.75"/>
    <x v="1"/>
    <s v="USD"/>
    <n v="1422165600"/>
    <n v="1423202400"/>
    <b v="0"/>
    <b v="0"/>
    <s v="film &amp; video/drama"/>
    <x v="4"/>
    <s v="drama"/>
  </r>
  <r>
    <n v="548"/>
    <s v="York-Pitts"/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s v="theater/plays"/>
    <x v="3"/>
    <s v="plays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s v="technology/wearables"/>
    <x v="2"/>
    <s v="wearables"/>
  </r>
  <r>
    <n v="550"/>
    <s v="Morrison-Henderson"/>
    <s v="De-engineered disintermediate encoding"/>
    <n v="100"/>
    <n v="4"/>
    <n v="0.04"/>
    <x v="3"/>
    <n v="1"/>
    <n v="4"/>
    <x v="5"/>
    <s v="CHF"/>
    <n v="1330495200"/>
    <n v="1332306000"/>
    <b v="0"/>
    <b v="0"/>
    <s v="music/indie rock"/>
    <x v="1"/>
    <s v="indie rock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s v="technology/web"/>
    <x v="2"/>
    <s v="web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s v="theater/plays"/>
    <x v="3"/>
    <s v="plays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s v="music/rock"/>
    <x v="1"/>
    <s v="rock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s v="music/indie rock"/>
    <x v="1"/>
    <s v="indie rock"/>
  </r>
  <r>
    <n v="555"/>
    <s v="Anderson Group"/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s v="music/rock"/>
    <x v="1"/>
    <s v="rock"/>
  </r>
  <r>
    <n v="556"/>
    <s v="Smith and Sons"/>
    <s v="Grass-roots 24/7 attitude"/>
    <n v="5200"/>
    <n v="12467"/>
    <n v="2.3975"/>
    <x v="1"/>
    <n v="122"/>
    <n v="102.18852459016394"/>
    <x v="1"/>
    <s v="USD"/>
    <n v="1315285200"/>
    <n v="1315890000"/>
    <b v="0"/>
    <b v="1"/>
    <s v="publishing/translations"/>
    <x v="5"/>
    <s v="translations"/>
  </r>
  <r>
    <n v="557"/>
    <s v="Lam-Hamilton"/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s v="film &amp; video/science fiction"/>
    <x v="4"/>
    <s v="science fiction"/>
  </r>
  <r>
    <n v="558"/>
    <s v="Ho Ltd"/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s v="theater/plays"/>
    <x v="3"/>
    <s v="plays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s v="theater/plays"/>
    <x v="3"/>
    <s v="plays"/>
  </r>
  <r>
    <n v="560"/>
    <s v="Hunt LLC"/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s v="film &amp; video/animation"/>
    <x v="4"/>
    <s v="animation"/>
  </r>
  <r>
    <n v="561"/>
    <s v="Fowler-Smith"/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s v="theater/plays"/>
    <x v="3"/>
    <s v="plays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s v="music/rock"/>
    <x v="1"/>
    <s v="rock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s v="film &amp; video/documentary"/>
    <x v="4"/>
    <s v="documentary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s v="theater/plays"/>
    <x v="3"/>
    <s v="plays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s v="theater/plays"/>
    <x v="3"/>
    <s v="plays"/>
  </r>
  <r>
    <n v="566"/>
    <s v="Webb-Smith"/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s v="music/electric music"/>
    <x v="1"/>
    <s v="electric music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s v="music/rock"/>
    <x v="1"/>
    <s v="rock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s v="theater/plays"/>
    <x v="3"/>
    <s v="plays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s v="film &amp; video/animation"/>
    <x v="4"/>
    <s v="animation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s v="music/rock"/>
    <x v="1"/>
    <s v="rock"/>
  </r>
  <r>
    <n v="571"/>
    <s v="Wilson and Sons"/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s v="film &amp; video/shorts"/>
    <x v="4"/>
    <s v="shorts"/>
  </r>
  <r>
    <n v="572"/>
    <s v="Clements Group"/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s v="music/rock"/>
    <x v="1"/>
    <s v="rock"/>
  </r>
  <r>
    <n v="573"/>
    <s v="Valenzuela-Cook"/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s v="journalism/audio"/>
    <x v="8"/>
    <s v="audio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s v="food/food trucks"/>
    <x v="0"/>
    <s v="food trucks"/>
  </r>
  <r>
    <n v="575"/>
    <s v="Fuentes LLC"/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s v="theater/plays"/>
    <x v="3"/>
    <s v="plays"/>
  </r>
  <r>
    <n v="576"/>
    <s v="Moran and Sons"/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s v="theater/plays"/>
    <x v="3"/>
    <s v="plays"/>
  </r>
  <r>
    <n v="577"/>
    <s v="Stevens Inc"/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s v="music/jazz"/>
    <x v="1"/>
    <s v="jazz"/>
  </r>
  <r>
    <n v="578"/>
    <s v="Martinez-Johnson"/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s v="film &amp; video/science fiction"/>
    <x v="4"/>
    <s v="science fiction"/>
  </r>
  <r>
    <n v="579"/>
    <s v="Franklin Inc"/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s v="music/jazz"/>
    <x v="1"/>
    <s v="jazz"/>
  </r>
  <r>
    <n v="580"/>
    <s v="Perez PLC"/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s v="theater/plays"/>
    <x v="3"/>
    <s v="plays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s v="technology/web"/>
    <x v="2"/>
    <s v="web"/>
  </r>
  <r>
    <n v="582"/>
    <s v="Pineda Ltd"/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s v="games/video games"/>
    <x v="6"/>
    <s v="video games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s v="film &amp; video/documentary"/>
    <x v="4"/>
    <s v="documentary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s v="technology/web"/>
    <x v="2"/>
    <s v="web"/>
  </r>
  <r>
    <n v="585"/>
    <s v="Pugh LLC"/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s v="publishing/translations"/>
    <x v="5"/>
    <s v="translations"/>
  </r>
  <r>
    <n v="586"/>
    <s v="Rowe-Wong"/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s v="music/rock"/>
    <x v="1"/>
    <s v="rock"/>
  </r>
  <r>
    <n v="587"/>
    <s v="Williams-Santos"/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s v="food/food trucks"/>
    <x v="0"/>
    <s v="food trucks"/>
  </r>
  <r>
    <n v="588"/>
    <s v="Weber Inc"/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s v="theater/plays"/>
    <x v="3"/>
    <s v="plays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s v="film &amp; video/documentary"/>
    <x v="4"/>
    <s v="documentary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s v="publishing/radio &amp; podcasts"/>
    <x v="5"/>
    <s v="radio &amp; podcasts"/>
  </r>
  <r>
    <n v="591"/>
    <s v="Jensen LLC"/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s v="games/video games"/>
    <x v="6"/>
    <s v="video games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s v="theater/plays"/>
    <x v="3"/>
    <s v="plays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s v="theater/plays"/>
    <x v="3"/>
    <s v="plays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s v="theater/plays"/>
    <x v="3"/>
    <s v="plays"/>
  </r>
  <r>
    <n v="596"/>
    <s v="Becker-Scott"/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s v="film &amp; video/drama"/>
    <x v="4"/>
    <s v="drama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s v="theater/plays"/>
    <x v="3"/>
    <s v="plays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s v="music/rock"/>
    <x v="1"/>
    <s v="rock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s v="film &amp; video/documentary"/>
    <x v="4"/>
    <s v="documentary"/>
  </r>
  <r>
    <n v="600"/>
    <s v="Brown-George"/>
    <s v="Cross-platform tertiary array"/>
    <n v="100"/>
    <n v="5"/>
    <n v="0.05"/>
    <x v="0"/>
    <n v="1"/>
    <n v="5"/>
    <x v="4"/>
    <s v="GBP"/>
    <n v="1375160400"/>
    <n v="1376197200"/>
    <b v="0"/>
    <b v="0"/>
    <s v="food/food trucks"/>
    <x v="0"/>
    <s v="food trucks"/>
  </r>
  <r>
    <n v="601"/>
    <s v="Waters and Sons"/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s v="technology/wearables"/>
    <x v="2"/>
    <s v="wearables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s v="theater/plays"/>
    <x v="3"/>
    <s v="plays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s v="theater/plays"/>
    <x v="3"/>
    <s v="plays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s v="theater/plays"/>
    <x v="3"/>
    <s v="plays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s v="publishing/nonfiction"/>
    <x v="5"/>
    <s v="nonfiction"/>
  </r>
  <r>
    <n v="606"/>
    <s v="Valencia PLC"/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s v="music/rock"/>
    <x v="1"/>
    <s v="rock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s v="food/food trucks"/>
    <x v="0"/>
    <s v="food trucks"/>
  </r>
  <r>
    <n v="608"/>
    <s v="Johnson Group"/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s v="music/jazz"/>
    <x v="1"/>
    <s v="jazz"/>
  </r>
  <r>
    <n v="609"/>
    <s v="Rose-Fuller"/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s v="theater/plays"/>
    <x v="3"/>
    <s v="plays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s v="theater/plays"/>
    <x v="3"/>
    <s v="plays"/>
  </r>
  <r>
    <n v="612"/>
    <s v="Wang, Nguyen and Horton"/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s v="music/electric music"/>
    <x v="1"/>
    <s v="electric music"/>
  </r>
  <r>
    <n v="613"/>
    <s v="Santos, Williams and Brown"/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s v="theater/plays"/>
    <x v="3"/>
    <s v="plays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s v="theater/plays"/>
    <x v="3"/>
    <s v="plays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s v="theater/plays"/>
    <x v="3"/>
    <s v="plays"/>
  </r>
  <r>
    <n v="616"/>
    <s v="Burnett-Mora"/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s v="music/indie rock"/>
    <x v="1"/>
    <s v="indie rock"/>
  </r>
  <r>
    <n v="617"/>
    <s v="King LLC"/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s v="theater/plays"/>
    <x v="3"/>
    <s v="plays"/>
  </r>
  <r>
    <n v="618"/>
    <s v="Miller Ltd"/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s v="publishing/nonfiction"/>
    <x v="5"/>
    <s v="nonfiction"/>
  </r>
  <r>
    <n v="619"/>
    <s v="Case LLC"/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s v="theater/plays"/>
    <x v="3"/>
    <s v="plays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s v="theater/plays"/>
    <x v="3"/>
    <s v="plays"/>
  </r>
  <r>
    <n v="622"/>
    <s v="Smith-Smith"/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s v="music/indie rock"/>
    <x v="1"/>
    <s v="indie rock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s v="theater/plays"/>
    <x v="3"/>
    <s v="plays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s v="theater/plays"/>
    <x v="3"/>
    <s v="plays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s v="theater/plays"/>
    <x v="3"/>
    <s v="plays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s v="food/food trucks"/>
    <x v="0"/>
    <s v="food trucks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s v="music/indie rock"/>
    <x v="1"/>
    <s v="indie rock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s v="theater/plays"/>
    <x v="3"/>
    <s v="plays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s v="theater/plays"/>
    <x v="3"/>
    <s v="plays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s v="theater/plays"/>
    <x v="3"/>
    <s v="plays"/>
  </r>
  <r>
    <n v="632"/>
    <s v="Parker PLC"/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s v="theater/plays"/>
    <x v="3"/>
    <s v="plays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s v="film &amp; video/animation"/>
    <x v="4"/>
    <s v="animation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s v="film &amp; video/television"/>
    <x v="4"/>
    <s v="television"/>
  </r>
  <r>
    <n v="635"/>
    <s v="Mack Ltd"/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s v="film &amp; video/television"/>
    <x v="4"/>
    <s v="television"/>
  </r>
  <r>
    <n v="636"/>
    <s v="Lamb-Sanders"/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s v="film &amp; video/animation"/>
    <x v="4"/>
    <s v="animation"/>
  </r>
  <r>
    <n v="637"/>
    <s v="Williams-Ramirez"/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s v="theater/plays"/>
    <x v="3"/>
    <s v="plays"/>
  </r>
  <r>
    <n v="638"/>
    <s v="Weaver Ltd"/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s v="theater/plays"/>
    <x v="3"/>
    <s v="plays"/>
  </r>
  <r>
    <n v="639"/>
    <s v="Barnes-Williams"/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s v="theater/plays"/>
    <x v="3"/>
    <s v="plays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s v="theater/plays"/>
    <x v="3"/>
    <s v="plays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s v="technology/wearables"/>
    <x v="2"/>
    <s v="wearables"/>
  </r>
  <r>
    <n v="643"/>
    <s v="Harris Inc"/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s v="theater/plays"/>
    <x v="3"/>
    <s v="plays"/>
  </r>
  <r>
    <n v="644"/>
    <s v="Peters-Nelson"/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s v="theater/plays"/>
    <x v="3"/>
    <s v="plays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s v="music/rock"/>
    <x v="1"/>
    <s v="rock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s v="games/video games"/>
    <x v="6"/>
    <s v="video games"/>
  </r>
  <r>
    <n v="647"/>
    <s v="Jordan-Wolfe"/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s v="publishing/translations"/>
    <x v="5"/>
    <s v="translations"/>
  </r>
  <r>
    <n v="648"/>
    <s v="Vargas-Cox"/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s v="food/food trucks"/>
    <x v="0"/>
    <s v="food trucks"/>
  </r>
  <r>
    <n v="649"/>
    <s v="Yang and Sons"/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s v="theater/plays"/>
    <x v="3"/>
    <s v="plays"/>
  </r>
  <r>
    <n v="650"/>
    <s v="Wilson, Wilson and Mathis"/>
    <s v="Optional asymmetric success"/>
    <n v="100"/>
    <n v="2"/>
    <n v="0.02"/>
    <x v="0"/>
    <n v="1"/>
    <n v="2"/>
    <x v="1"/>
    <s v="USD"/>
    <n v="1404795600"/>
    <n v="1407128400"/>
    <b v="0"/>
    <b v="0"/>
    <s v="music/jazz"/>
    <x v="1"/>
    <s v="jazz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s v="film &amp; video/shorts"/>
    <x v="4"/>
    <s v="shorts"/>
  </r>
  <r>
    <n v="652"/>
    <s v="Cisneros Ltd"/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s v="technology/web"/>
    <x v="2"/>
    <s v="web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s v="technology/web"/>
    <x v="2"/>
    <s v="web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s v="music/metal"/>
    <x v="1"/>
    <s v="metal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s v="food/food trucks"/>
    <x v="0"/>
    <s v="food trucks"/>
  </r>
  <r>
    <n v="657"/>
    <s v="Russo, Kim and Mccoy"/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s v="music/rock"/>
    <x v="1"/>
    <s v="rock"/>
  </r>
  <r>
    <n v="659"/>
    <s v="Bailey and Sons"/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s v="film &amp; video/documentary"/>
    <x v="4"/>
    <s v="documentary"/>
  </r>
  <r>
    <n v="660"/>
    <s v="Jensen-Brown"/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s v="theater/plays"/>
    <x v="3"/>
    <s v="plays"/>
  </r>
  <r>
    <n v="661"/>
    <s v="Smith Group"/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s v="music/jazz"/>
    <x v="1"/>
    <s v="jazz"/>
  </r>
  <r>
    <n v="662"/>
    <s v="Murphy-Farrell"/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s v="theater/plays"/>
    <x v="3"/>
    <s v="plays"/>
  </r>
  <r>
    <n v="663"/>
    <s v="Everett-Wolfe"/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s v="theater/plays"/>
    <x v="3"/>
    <s v="plays"/>
  </r>
  <r>
    <n v="664"/>
    <s v="Young PLC"/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s v="music/jazz"/>
    <x v="1"/>
    <s v="jazz"/>
  </r>
  <r>
    <n v="665"/>
    <s v="Park-Goodman"/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s v="film &amp; video/documentary"/>
    <x v="4"/>
    <s v="documentary"/>
  </r>
  <r>
    <n v="666"/>
    <s v="York, Barr and Grant"/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s v="theater/plays"/>
    <x v="3"/>
    <s v="plays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s v="journalism/audio"/>
    <x v="8"/>
    <s v="audio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s v="theater/plays"/>
    <x v="3"/>
    <s v="plays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s v="theater/plays"/>
    <x v="3"/>
    <s v="plays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s v="music/indie rock"/>
    <x v="1"/>
    <s v="indie rock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s v="theater/plays"/>
    <x v="3"/>
    <s v="plays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s v="theater/plays"/>
    <x v="3"/>
    <s v="plays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s v="music/indie rock"/>
    <x v="1"/>
    <s v="indie rock"/>
  </r>
  <r>
    <n v="674"/>
    <s v="Sanchez Ltd"/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s v="photography/photography books"/>
    <x v="7"/>
    <s v="photography books"/>
  </r>
  <r>
    <n v="675"/>
    <s v="Giles-Smith"/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s v="journalism/audio"/>
    <x v="8"/>
    <s v="audio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s v="photography/photography books"/>
    <x v="7"/>
    <s v="photography books"/>
  </r>
  <r>
    <n v="677"/>
    <s v="Murphy-Fox"/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s v="publishing/fiction"/>
    <x v="5"/>
    <s v="fiction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s v="film &amp; video/drama"/>
    <x v="4"/>
    <s v="drama"/>
  </r>
  <r>
    <n v="679"/>
    <s v="Davis Ltd"/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s v="food/food trucks"/>
    <x v="0"/>
    <s v="food trucks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s v="games/mobile games"/>
    <x v="6"/>
    <s v="mobile games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s v="theater/plays"/>
    <x v="3"/>
    <s v="plays"/>
  </r>
  <r>
    <n v="682"/>
    <s v="Nguyen and Sons"/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s v="theater/plays"/>
    <x v="3"/>
    <s v="plays"/>
  </r>
  <r>
    <n v="683"/>
    <s v="Jones PLC"/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s v="theater/plays"/>
    <x v="3"/>
    <s v="plays"/>
  </r>
  <r>
    <n v="684"/>
    <s v="Gilmore LLC"/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s v="publishing/nonfiction"/>
    <x v="5"/>
    <s v="nonfiction"/>
  </r>
  <r>
    <n v="685"/>
    <s v="Lee-Cobb"/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s v="theater/plays"/>
    <x v="3"/>
    <s v="plays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s v="technology/wearables"/>
    <x v="2"/>
    <s v="wearables"/>
  </r>
  <r>
    <n v="687"/>
    <s v="Martin, Gates and Holt"/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s v="theater/plays"/>
    <x v="3"/>
    <s v="plays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s v="film &amp; video/television"/>
    <x v="4"/>
    <s v="television"/>
  </r>
  <r>
    <n v="689"/>
    <s v="Nguyen Inc"/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s v="technology/web"/>
    <x v="2"/>
    <s v="web"/>
  </r>
  <r>
    <n v="690"/>
    <s v="Walsh-Watts"/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s v="film &amp; video/documentary"/>
    <x v="4"/>
    <s v="documentary"/>
  </r>
  <r>
    <n v="691"/>
    <s v="Ray, Li and Li"/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s v="film &amp; video/documentary"/>
    <x v="4"/>
    <s v="documentary"/>
  </r>
  <r>
    <n v="692"/>
    <s v="Murray Ltd"/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s v="music/rock"/>
    <x v="1"/>
    <s v="rock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s v="theater/plays"/>
    <x v="3"/>
    <s v="plays"/>
  </r>
  <r>
    <n v="694"/>
    <s v="Mora-Bradley"/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s v="theater/plays"/>
    <x v="3"/>
    <s v="plays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s v="music/rock"/>
    <x v="1"/>
    <s v="rock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s v="theater/plays"/>
    <x v="3"/>
    <s v="plays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s v="music/electric music"/>
    <x v="1"/>
    <s v="electric music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s v="technology/wearables"/>
    <x v="2"/>
    <s v="wearables"/>
  </r>
  <r>
    <n v="699"/>
    <s v="King Inc"/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s v="film &amp; video/drama"/>
    <x v="4"/>
    <s v="drama"/>
  </r>
  <r>
    <n v="700"/>
    <s v="Cole, Petty and Cameron"/>
    <s v="Realigned zero administration paradigm"/>
    <n v="100"/>
    <n v="3"/>
    <n v="0.03"/>
    <x v="0"/>
    <n v="1"/>
    <n v="3"/>
    <x v="1"/>
    <s v="USD"/>
    <n v="1264399200"/>
    <n v="1265695200"/>
    <b v="0"/>
    <b v="0"/>
    <s v="technology/wearables"/>
    <x v="2"/>
    <s v="wearables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s v="theater/plays"/>
    <x v="3"/>
    <s v="plays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s v="technology/wearables"/>
    <x v="2"/>
    <s v="wearables"/>
  </r>
  <r>
    <n v="703"/>
    <s v="Perez Group"/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s v="film &amp; video/animation"/>
    <x v="4"/>
    <s v="animation"/>
  </r>
  <r>
    <n v="705"/>
    <s v="Ford LLC"/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s v="publishing/nonfiction"/>
    <x v="5"/>
    <s v="nonfiction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s v="technology/web"/>
    <x v="2"/>
    <s v="web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s v="film &amp; video/drama"/>
    <x v="4"/>
    <s v="drama"/>
  </r>
  <r>
    <n v="708"/>
    <s v="Ortega LLC"/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s v="theater/plays"/>
    <x v="3"/>
    <s v="plays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s v="theater/plays"/>
    <x v="3"/>
    <s v="plays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s v="theater/plays"/>
    <x v="3"/>
    <s v="plays"/>
  </r>
  <r>
    <n v="711"/>
    <s v="Anderson LLC"/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s v="theater/plays"/>
    <x v="3"/>
    <s v="plays"/>
  </r>
  <r>
    <n v="712"/>
    <s v="Garza-Bryant"/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s v="theater/plays"/>
    <x v="3"/>
    <s v="plays"/>
  </r>
  <r>
    <n v="713"/>
    <s v="Mays LLC"/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s v="music/rock"/>
    <x v="1"/>
    <s v="rock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s v="games/mobile games"/>
    <x v="6"/>
    <s v="mobile games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s v="theater/plays"/>
    <x v="3"/>
    <s v="plays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s v="film &amp; video/documentary"/>
    <x v="4"/>
    <s v="documentary"/>
  </r>
  <r>
    <n v="718"/>
    <s v="Reyes PLC"/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s v="technology/wearables"/>
    <x v="2"/>
    <s v="wearables"/>
  </r>
  <r>
    <n v="719"/>
    <s v="Pace, Simpson and Watkins"/>
    <s v="Down-sized uniform ability"/>
    <n v="6900"/>
    <n v="10557"/>
    <n v="1.53"/>
    <x v="1"/>
    <n v="123"/>
    <n v="85.829268292682926"/>
    <x v="1"/>
    <s v="USD"/>
    <n v="1338267600"/>
    <n v="13392180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s v="theater/plays"/>
    <x v="3"/>
    <s v="plays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s v="music/rock"/>
    <x v="1"/>
    <s v="rock"/>
  </r>
  <r>
    <n v="722"/>
    <s v="Thomas-Simmons"/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s v="film &amp; video/documentary"/>
    <x v="4"/>
    <s v="documentary"/>
  </r>
  <r>
    <n v="723"/>
    <s v="Beck-Knight"/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s v="theater/plays"/>
    <x v="3"/>
    <s v="plays"/>
  </r>
  <r>
    <n v="724"/>
    <s v="Mccoy Ltd"/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s v="theater/plays"/>
    <x v="3"/>
    <s v="plays"/>
  </r>
  <r>
    <n v="725"/>
    <s v="Dawson-Tyler"/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s v="games/mobile games"/>
    <x v="6"/>
    <s v="mobile games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s v="theater/plays"/>
    <x v="3"/>
    <s v="plays"/>
  </r>
  <r>
    <n v="727"/>
    <s v="Quinn, Cruz and Schmidt"/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s v="technology/web"/>
    <x v="2"/>
    <s v="web"/>
  </r>
  <r>
    <n v="728"/>
    <s v="Stewart Inc"/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s v="theater/plays"/>
    <x v="3"/>
    <s v="plays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s v="film &amp; video/drama"/>
    <x v="4"/>
    <s v="drama"/>
  </r>
  <r>
    <n v="730"/>
    <s v="Carson PLC"/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s v="technology/wearables"/>
    <x v="2"/>
    <s v="wearables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s v="technology/web"/>
    <x v="2"/>
    <s v="web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s v="music/rock"/>
    <x v="1"/>
    <s v="rock"/>
  </r>
  <r>
    <n v="733"/>
    <s v="Marquez-Kerr"/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s v="music/metal"/>
    <x v="1"/>
    <s v="metal"/>
  </r>
  <r>
    <n v="734"/>
    <s v="Stone PLC"/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s v="theater/plays"/>
    <x v="3"/>
    <s v="plays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s v="photography/photography books"/>
    <x v="7"/>
    <s v="photography books"/>
  </r>
  <r>
    <n v="736"/>
    <s v="Silva-Hawkins"/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s v="publishing/nonfiction"/>
    <x v="5"/>
    <s v="nonfiction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s v="music/indie rock"/>
    <x v="1"/>
    <s v="indie rock"/>
  </r>
  <r>
    <n v="738"/>
    <s v="Garcia Group"/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s v="theater/plays"/>
    <x v="3"/>
    <s v="plays"/>
  </r>
  <r>
    <n v="739"/>
    <s v="Meyer-Avila"/>
    <s v="Multi-tiered discrete support"/>
    <n v="10000"/>
    <n v="6100"/>
    <n v="0.61"/>
    <x v="0"/>
    <n v="191"/>
    <n v="31.937172774869111"/>
    <x v="1"/>
    <s v="USD"/>
    <n v="1340946000"/>
    <n v="1341032400"/>
    <b v="0"/>
    <b v="0"/>
    <s v="music/indie rock"/>
    <x v="1"/>
    <s v="indie rock"/>
  </r>
  <r>
    <n v="740"/>
    <s v="Nelson, Smith and Graham"/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s v="theater/plays"/>
    <x v="3"/>
    <s v="plays"/>
  </r>
  <r>
    <n v="741"/>
    <s v="Garcia Ltd"/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s v="theater/plays"/>
    <x v="3"/>
    <s v="plays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s v="music/electric music"/>
    <x v="1"/>
    <s v="electric music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s v="theater/plays"/>
    <x v="3"/>
    <s v="plays"/>
  </r>
  <r>
    <n v="744"/>
    <s v="Fitzgerald Group"/>
    <s v="Intuitive exuding initiative"/>
    <n v="2000"/>
    <n v="14240"/>
    <n v="7.12"/>
    <x v="1"/>
    <n v="140"/>
    <n v="101.71428571428571"/>
    <x v="1"/>
    <s v="USD"/>
    <n v="1533877200"/>
    <n v="1534050000"/>
    <b v="0"/>
    <b v="1"/>
    <s v="theater/plays"/>
    <x v="3"/>
    <s v="plays"/>
  </r>
  <r>
    <n v="745"/>
    <s v="Hill, Mccann and Moore"/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s v="technology/wearables"/>
    <x v="2"/>
    <s v="wearables"/>
  </r>
  <r>
    <n v="746"/>
    <s v="Edwards LLC"/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s v="technology/web"/>
    <x v="2"/>
    <s v="web"/>
  </r>
  <r>
    <n v="747"/>
    <s v="Greer and Sons"/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s v="theater/plays"/>
    <x v="3"/>
    <s v="plays"/>
  </r>
  <r>
    <n v="748"/>
    <s v="Martinez PLC"/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s v="film &amp; video/animation"/>
    <x v="4"/>
    <s v="animation"/>
  </r>
  <r>
    <n v="749"/>
    <s v="Hunter-Logan"/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s v="technology/wearables"/>
    <x v="2"/>
    <s v="wearables"/>
  </r>
  <r>
    <n v="750"/>
    <s v="Ramos and Sons"/>
    <s v="Extended responsive Internet solution"/>
    <n v="100"/>
    <n v="1"/>
    <n v="0.01"/>
    <x v="0"/>
    <n v="1"/>
    <n v="1"/>
    <x v="4"/>
    <s v="GBP"/>
    <n v="1277960400"/>
    <n v="1280120400"/>
    <b v="0"/>
    <b v="0"/>
    <s v="music/electric music"/>
    <x v="1"/>
    <s v="electric music"/>
  </r>
  <r>
    <n v="751"/>
    <s v="Lane-Barber"/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s v="publishing/nonfiction"/>
    <x v="5"/>
    <s v="nonfiction"/>
  </r>
  <r>
    <n v="752"/>
    <s v="Lowery Group"/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s v="theater/plays"/>
    <x v="3"/>
    <s v="plays"/>
  </r>
  <r>
    <n v="753"/>
    <s v="Guerrero-Griffin"/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s v="photography/photography books"/>
    <x v="7"/>
    <s v="photography books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s v="theater/plays"/>
    <x v="3"/>
    <s v="plays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s v="theater/plays"/>
    <x v="3"/>
    <s v="plays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s v="theater/plays"/>
    <x v="3"/>
    <s v="plays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s v="film &amp; video/drama"/>
    <x v="4"/>
    <s v="drama"/>
  </r>
  <r>
    <n v="758"/>
    <s v="Logan-Miranda"/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s v="music/rock"/>
    <x v="1"/>
    <s v="rock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s v="music/electric music"/>
    <x v="1"/>
    <s v="electric music"/>
  </r>
  <r>
    <n v="760"/>
    <s v="Smith-Kennedy"/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s v="games/video games"/>
    <x v="6"/>
    <s v="video games"/>
  </r>
  <r>
    <n v="761"/>
    <s v="Mitchell-Lee"/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s v="music/rock"/>
    <x v="1"/>
    <s v="rock"/>
  </r>
  <r>
    <n v="762"/>
    <s v="Davis Ltd"/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s v="music/jazz"/>
    <x v="1"/>
    <s v="jazz"/>
  </r>
  <r>
    <n v="763"/>
    <s v="Rowland PLC"/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s v="theater/plays"/>
    <x v="3"/>
    <s v="plays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s v="music/rock"/>
    <x v="1"/>
    <s v="rock"/>
  </r>
  <r>
    <n v="765"/>
    <s v="Matthews LLC"/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s v="music/indie rock"/>
    <x v="1"/>
    <s v="indie rock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s v="publishing/translations"/>
    <x v="5"/>
    <s v="translations"/>
  </r>
  <r>
    <n v="768"/>
    <s v="Ramirez-Calderon"/>
    <s v="Fundamental zero tolerance alliance"/>
    <n v="4800"/>
    <n v="11088"/>
    <n v="2.31"/>
    <x v="1"/>
    <n v="150"/>
    <n v="73.92"/>
    <x v="1"/>
    <s v="USD"/>
    <n v="1386741600"/>
    <n v="1388037600"/>
    <b v="0"/>
    <b v="0"/>
    <s v="theater/plays"/>
    <x v="3"/>
    <s v="plays"/>
  </r>
  <r>
    <n v="769"/>
    <s v="Johnson-Morales"/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s v="games/video games"/>
    <x v="6"/>
    <s v="video games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s v="theater/plays"/>
    <x v="3"/>
    <s v="plays"/>
  </r>
  <r>
    <n v="771"/>
    <s v="Smith, Mack and Williams"/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s v="theater/plays"/>
    <x v="3"/>
    <s v="plays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s v="music/indie rock"/>
    <x v="1"/>
    <s v="indie rock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s v="theater/plays"/>
    <x v="3"/>
    <s v="plays"/>
  </r>
  <r>
    <n v="774"/>
    <s v="Gonzalez-Snow"/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s v="technology/web"/>
    <x v="2"/>
    <s v="web"/>
  </r>
  <r>
    <n v="775"/>
    <s v="Murphy LLC"/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s v="music/rock"/>
    <x v="1"/>
    <s v="rock"/>
  </r>
  <r>
    <n v="776"/>
    <s v="Taylor-Rowe"/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s v="theater/plays"/>
    <x v="3"/>
    <s v="plays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s v="theater/plays"/>
    <x v="3"/>
    <s v="plays"/>
  </r>
  <r>
    <n v="778"/>
    <s v="Moss-Guzman"/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s v="film &amp; video/animation"/>
    <x v="4"/>
    <s v="animation"/>
  </r>
  <r>
    <n v="779"/>
    <s v="Webb Group"/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s v="theater/plays"/>
    <x v="3"/>
    <s v="plays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s v="film &amp; video/drama"/>
    <x v="4"/>
    <s v="drama"/>
  </r>
  <r>
    <n v="781"/>
    <s v="Thomas Ltd"/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s v="theater/plays"/>
    <x v="3"/>
    <s v="plays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s v="film &amp; video/animation"/>
    <x v="4"/>
    <s v="animation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s v="music/rock"/>
    <x v="1"/>
    <s v="rock"/>
  </r>
  <r>
    <n v="784"/>
    <s v="Byrd Group"/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s v="technology/web"/>
    <x v="2"/>
    <s v="web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s v="film &amp; video/animation"/>
    <x v="4"/>
    <s v="animation"/>
  </r>
  <r>
    <n v="786"/>
    <s v="Smith-Brown"/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s v="music/jazz"/>
    <x v="1"/>
    <s v="jazz"/>
  </r>
  <r>
    <n v="787"/>
    <s v="Vance-Glover"/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s v="music/rock"/>
    <x v="1"/>
    <s v="rock"/>
  </r>
  <r>
    <n v="788"/>
    <s v="Joyce PLC"/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s v="film &amp; video/animation"/>
    <x v="4"/>
    <s v="animation"/>
  </r>
  <r>
    <n v="789"/>
    <s v="Kennedy-Miller"/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s v="theater/plays"/>
    <x v="3"/>
    <s v="plays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s v="theater/plays"/>
    <x v="3"/>
    <s v="plays"/>
  </r>
  <r>
    <n v="791"/>
    <s v="Stafford, Hess and Raymond"/>
    <s v="Optional web-enabled extranet"/>
    <n v="2100"/>
    <n v="540"/>
    <n v="0.25714285714285712"/>
    <x v="0"/>
    <n v="6"/>
    <n v="90"/>
    <x v="1"/>
    <s v="USD"/>
    <n v="1481436000"/>
    <n v="1482818400"/>
    <b v="0"/>
    <b v="0"/>
    <s v="food/food trucks"/>
    <x v="0"/>
    <s v="food trucks"/>
  </r>
  <r>
    <n v="792"/>
    <s v="Jordan, Schneider and Hall"/>
    <s v="Reduced 6thgeneration intranet"/>
    <n v="2000"/>
    <n v="680"/>
    <n v="0.34"/>
    <x v="0"/>
    <n v="7"/>
    <n v="97.142857142857139"/>
    <x v="1"/>
    <s v="USD"/>
    <n v="1372222800"/>
    <n v="1374642000"/>
    <b v="0"/>
    <b v="1"/>
    <s v="theater/plays"/>
    <x v="3"/>
    <s v="plays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s v="publishing/nonfiction"/>
    <x v="5"/>
    <s v="nonfiction"/>
  </r>
  <r>
    <n v="794"/>
    <s v="Welch Inc"/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s v="music/rock"/>
    <x v="1"/>
    <s v="rock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s v="film &amp; video/drama"/>
    <x v="4"/>
    <s v="drama"/>
  </r>
  <r>
    <n v="796"/>
    <s v="Freeman-Ferguson"/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s v="games/mobile games"/>
    <x v="6"/>
    <s v="mobile games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s v="technology/web"/>
    <x v="2"/>
    <s v="web"/>
  </r>
  <r>
    <n v="798"/>
    <s v="Small-Fuentes"/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s v="theater/plays"/>
    <x v="3"/>
    <s v="plays"/>
  </r>
  <r>
    <n v="799"/>
    <s v="Reid-Day"/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s v="theater/plays"/>
    <x v="3"/>
    <s v="plays"/>
  </r>
  <r>
    <n v="800"/>
    <s v="Wallace LLC"/>
    <s v="Centralized regional function"/>
    <n v="100"/>
    <n v="1"/>
    <n v="0.01"/>
    <x v="0"/>
    <n v="1"/>
    <n v="1"/>
    <x v="5"/>
    <s v="CHF"/>
    <n v="1434085200"/>
    <n v="1434430800"/>
    <b v="0"/>
    <b v="0"/>
    <s v="music/rock"/>
    <x v="1"/>
    <s v="rock"/>
  </r>
  <r>
    <n v="801"/>
    <s v="Olson-Bishop"/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s v="theater/plays"/>
    <x v="3"/>
    <s v="plays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s v="music/rock"/>
    <x v="1"/>
    <s v="rock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s v="film &amp; video/documentary"/>
    <x v="4"/>
    <s v="documentary"/>
  </r>
  <r>
    <n v="806"/>
    <s v="Harmon-Madden"/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s v="film &amp; video/drama"/>
    <x v="4"/>
    <s v="drama"/>
  </r>
  <r>
    <n v="807"/>
    <s v="Walker-Taylor"/>
    <s v="Automated uniform concept"/>
    <n v="700"/>
    <n v="1848"/>
    <n v="2.64"/>
    <x v="1"/>
    <n v="43"/>
    <n v="42.97674418604651"/>
    <x v="1"/>
    <s v="USD"/>
    <n v="1571115600"/>
    <n v="1574920800"/>
    <b v="0"/>
    <b v="1"/>
    <s v="theater/plays"/>
    <x v="3"/>
    <s v="plays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s v="food/food trucks"/>
    <x v="0"/>
    <s v="food trucks"/>
  </r>
  <r>
    <n v="809"/>
    <s v="Williams and Sons"/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s v="film &amp; video/documentary"/>
    <x v="4"/>
    <s v="documentary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s v="theater/plays"/>
    <x v="3"/>
    <s v="plays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s v="games/video games"/>
    <x v="6"/>
    <s v="video games"/>
  </r>
  <r>
    <n v="812"/>
    <s v="Landry Group"/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s v="publishing/nonfiction"/>
    <x v="5"/>
    <s v="nonfiction"/>
  </r>
  <r>
    <n v="813"/>
    <s v="Buckley Group"/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s v="games/video games"/>
    <x v="6"/>
    <s v="video games"/>
  </r>
  <r>
    <n v="814"/>
    <s v="Vincent PLC"/>
    <s v="Visionary 24hour analyzer"/>
    <n v="3200"/>
    <n v="2950"/>
    <n v="0.921875"/>
    <x v="0"/>
    <n v="36"/>
    <n v="81.944444444444443"/>
    <x v="3"/>
    <s v="DKK"/>
    <n v="1464325200"/>
    <n v="1464498000"/>
    <b v="0"/>
    <b v="1"/>
    <s v="music/rock"/>
    <x v="1"/>
    <s v="rock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s v="music/rock"/>
    <x v="1"/>
    <s v="rock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s v="theater/plays"/>
    <x v="3"/>
    <s v="plays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s v="publishing/nonfiction"/>
    <x v="5"/>
    <s v="nonfiction"/>
  </r>
  <r>
    <n v="818"/>
    <s v="Martinez LLC"/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s v="theater/plays"/>
    <x v="3"/>
    <s v="plays"/>
  </r>
  <r>
    <n v="819"/>
    <s v="Buck-Khan"/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s v="games/video games"/>
    <x v="6"/>
    <s v="video games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s v="music/rock"/>
    <x v="1"/>
    <s v="rock"/>
  </r>
  <r>
    <n v="821"/>
    <s v="Alvarez-Andrews"/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s v="film &amp; video/documentary"/>
    <x v="4"/>
    <s v="documentary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s v="music/rock"/>
    <x v="1"/>
    <s v="rock"/>
  </r>
  <r>
    <n v="823"/>
    <s v="Dyer Inc"/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s v="music/rock"/>
    <x v="1"/>
    <s v="rock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s v="publishing/nonfiction"/>
    <x v="5"/>
    <s v="nonfiction"/>
  </r>
  <r>
    <n v="825"/>
    <s v="Solomon PLC"/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s v="film &amp; video/shorts"/>
    <x v="4"/>
    <s v="shorts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s v="theater/plays"/>
    <x v="3"/>
    <s v="plays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s v="film &amp; video/drama"/>
    <x v="4"/>
    <s v="drama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s v="theater/plays"/>
    <x v="3"/>
    <s v="plays"/>
  </r>
  <r>
    <n v="829"/>
    <s v="Baker-Higgins"/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s v="theater/plays"/>
    <x v="3"/>
    <s v="plays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s v="publishing/translations"/>
    <x v="5"/>
    <s v="translations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s v="theater/plays"/>
    <x v="3"/>
    <s v="plays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s v="technology/web"/>
    <x v="2"/>
    <s v="web"/>
  </r>
  <r>
    <n v="836"/>
    <s v="Macias Inc"/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s v="music/indie rock"/>
    <x v="1"/>
    <s v="indie rock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s v="music/jazz"/>
    <x v="1"/>
    <s v="jazz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s v="theater/plays"/>
    <x v="3"/>
    <s v="plays"/>
  </r>
  <r>
    <n v="839"/>
    <s v="Pierce-Ramirez"/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s v="film &amp; video/documentary"/>
    <x v="4"/>
    <s v="documentary"/>
  </r>
  <r>
    <n v="840"/>
    <s v="Howell and Sons"/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s v="theater/plays"/>
    <x v="3"/>
    <s v="plays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s v="technology/web"/>
    <x v="2"/>
    <s v="web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s v="technology/wearables"/>
    <x v="2"/>
    <s v="wearables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s v="photography/photography books"/>
    <x v="7"/>
    <s v="photography books"/>
  </r>
  <r>
    <n v="844"/>
    <s v="Rodriguez-Hansen"/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s v="film &amp; video/documentary"/>
    <x v="4"/>
    <s v="documentary"/>
  </r>
  <r>
    <n v="845"/>
    <s v="Williams LLC"/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s v="technology/web"/>
    <x v="2"/>
    <s v="web"/>
  </r>
  <r>
    <n v="846"/>
    <s v="Cooper, Stanley and Bryant"/>
    <s v="Phased empowering success"/>
    <n v="1000"/>
    <n v="5085"/>
    <n v="5.085"/>
    <x v="1"/>
    <n v="48"/>
    <n v="105.9375"/>
    <x v="1"/>
    <s v="USD"/>
    <n v="1532149200"/>
    <n v="1535259600"/>
    <b v="1"/>
    <b v="1"/>
    <s v="technology/web"/>
    <x v="2"/>
    <s v="web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s v="food/food trucks"/>
    <x v="0"/>
    <s v="food trucks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s v="film &amp; video/drama"/>
    <x v="4"/>
    <s v="drama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s v="music/indie rock"/>
    <x v="1"/>
    <s v="indie rock"/>
  </r>
  <r>
    <n v="850"/>
    <s v="Hood, Perez and Meadows"/>
    <s v="Cross-group upward-trending hierarchy"/>
    <n v="100"/>
    <n v="1"/>
    <n v="0.01"/>
    <x v="0"/>
    <n v="1"/>
    <n v="1"/>
    <x v="1"/>
    <s v="USD"/>
    <n v="1321682400"/>
    <n v="1322978400"/>
    <b v="1"/>
    <b v="0"/>
    <s v="music/rock"/>
    <x v="1"/>
    <s v="rock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s v="music/electric music"/>
    <x v="1"/>
    <s v="electric music"/>
  </r>
  <r>
    <n v="852"/>
    <s v="Brady Ltd"/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s v="games/video games"/>
    <x v="6"/>
    <s v="video games"/>
  </r>
  <r>
    <n v="853"/>
    <s v="Collier LLC"/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s v="music/indie rock"/>
    <x v="1"/>
    <s v="indie rock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s v="publishing/fiction"/>
    <x v="5"/>
    <s v="fiction"/>
  </r>
  <r>
    <n v="855"/>
    <s v="Moses-Terry"/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s v="theater/plays"/>
    <x v="3"/>
    <s v="plays"/>
  </r>
  <r>
    <n v="856"/>
    <s v="Williams and Sons"/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s v="food/food trucks"/>
    <x v="0"/>
    <s v="food trucks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s v="film &amp; video/shorts"/>
    <x v="4"/>
    <s v="shorts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s v="food/food trucks"/>
    <x v="0"/>
    <s v="food trucks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s v="theater/plays"/>
    <x v="3"/>
    <s v="plays"/>
  </r>
  <r>
    <n v="860"/>
    <s v="Lee PLC"/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s v="technology/wearables"/>
    <x v="2"/>
    <s v="wearables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s v="theater/plays"/>
    <x v="3"/>
    <s v="plays"/>
  </r>
  <r>
    <n v="862"/>
    <s v="Lewis and Sons"/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s v="theater/plays"/>
    <x v="3"/>
    <s v="plays"/>
  </r>
  <r>
    <n v="863"/>
    <s v="Davis-Johnson"/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s v="film &amp; video/television"/>
    <x v="4"/>
    <s v="television"/>
  </r>
  <r>
    <n v="864"/>
    <s v="Stevenson-Thompson"/>
    <s v="Automated static workforce"/>
    <n v="4200"/>
    <n v="14577"/>
    <n v="3.4707142857142856"/>
    <x v="1"/>
    <n v="150"/>
    <n v="97.18"/>
    <x v="1"/>
    <s v="USD"/>
    <n v="1471582800"/>
    <n v="14720148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s v="theater/plays"/>
    <x v="3"/>
    <s v="plays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s v="food/food trucks"/>
    <x v="0"/>
    <s v="food trucks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s v="theater/plays"/>
    <x v="3"/>
    <s v="plays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s v="film &amp; video/drama"/>
    <x v="4"/>
    <s v="drama"/>
  </r>
  <r>
    <n v="870"/>
    <s v="Hansen-Austin"/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s v="theater/plays"/>
    <x v="3"/>
    <s v="plays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s v="theater/plays"/>
    <x v="3"/>
    <s v="plays"/>
  </r>
  <r>
    <n v="872"/>
    <s v="Davis LLC"/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s v="photography/photography books"/>
    <x v="7"/>
    <s v="photography books"/>
  </r>
  <r>
    <n v="874"/>
    <s v="Chung-Nguyen"/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s v="photography/photography books"/>
    <x v="7"/>
    <s v="photography books"/>
  </r>
  <r>
    <n v="875"/>
    <s v="Mueller-Harmon"/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s v="music/rock"/>
    <x v="1"/>
    <s v="rock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s v="food/food trucks"/>
    <x v="0"/>
    <s v="food trucks"/>
  </r>
  <r>
    <n v="878"/>
    <s v="Lutz Group"/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s v="music/metal"/>
    <x v="1"/>
    <s v="metal"/>
  </r>
  <r>
    <n v="879"/>
    <s v="Ortiz Inc"/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s v="publishing/nonfiction"/>
    <x v="5"/>
    <s v="nonfiction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s v="music/electric music"/>
    <x v="1"/>
    <s v="electric music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s v="theater/plays"/>
    <x v="3"/>
    <s v="plays"/>
  </r>
  <r>
    <n v="882"/>
    <s v="White-Rosario"/>
    <s v="Balanced demand-driven definition"/>
    <n v="800"/>
    <n v="2960"/>
    <n v="3.7"/>
    <x v="1"/>
    <n v="80"/>
    <n v="37"/>
    <x v="1"/>
    <s v="USD"/>
    <n v="1421820000"/>
    <n v="1422165600"/>
    <b v="0"/>
    <b v="0"/>
    <s v="theater/plays"/>
    <x v="3"/>
    <s v="plays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s v="film &amp; video/shorts"/>
    <x v="4"/>
    <s v="shorts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s v="theater/plays"/>
    <x v="3"/>
    <s v="plays"/>
  </r>
  <r>
    <n v="885"/>
    <s v="Lynch Ltd"/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s v="theater/plays"/>
    <x v="3"/>
    <s v="plays"/>
  </r>
  <r>
    <n v="886"/>
    <s v="Sanders LLC"/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s v="music/indie rock"/>
    <x v="1"/>
    <s v="indie rock"/>
  </r>
  <r>
    <n v="887"/>
    <s v="Cooper LLC"/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s v="theater/plays"/>
    <x v="3"/>
    <s v="plays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s v="theater/plays"/>
    <x v="3"/>
    <s v="plays"/>
  </r>
  <r>
    <n v="889"/>
    <s v="Santos Group"/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s v="music/electric music"/>
    <x v="1"/>
    <s v="electric music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s v="music/indie rock"/>
    <x v="1"/>
    <s v="indie rock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s v="film &amp; video/documentary"/>
    <x v="4"/>
    <s v="documentary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s v="publishing/translations"/>
    <x v="5"/>
    <s v="translations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s v="film &amp; video/documentary"/>
    <x v="4"/>
    <s v="documentary"/>
  </r>
  <r>
    <n v="894"/>
    <s v="Barrett Inc"/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s v="theater/plays"/>
    <x v="3"/>
    <s v="plays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s v="food/food trucks"/>
    <x v="0"/>
    <s v="food trucks"/>
  </r>
  <r>
    <n v="897"/>
    <s v="Berry-Cannon"/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s v="theater/plays"/>
    <x v="3"/>
    <s v="plays"/>
  </r>
  <r>
    <n v="898"/>
    <s v="Davis-Gonzalez"/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s v="film &amp; video/documentary"/>
    <x v="4"/>
    <s v="documentary"/>
  </r>
  <r>
    <n v="899"/>
    <s v="Best-Young"/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s v="music/jazz"/>
    <x v="1"/>
    <s v="jazz"/>
  </r>
  <r>
    <n v="900"/>
    <s v="Powers, Smith and Deleon"/>
    <s v="Enhanced uniform service-desk"/>
    <n v="100"/>
    <n v="2"/>
    <n v="0.02"/>
    <x v="0"/>
    <n v="1"/>
    <n v="2"/>
    <x v="1"/>
    <s v="USD"/>
    <n v="1411102800"/>
    <n v="1411189200"/>
    <b v="0"/>
    <b v="1"/>
    <s v="technology/web"/>
    <x v="2"/>
    <s v="web"/>
  </r>
  <r>
    <n v="901"/>
    <s v="Hogan Group"/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s v="music/rock"/>
    <x v="1"/>
    <s v="rock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s v="technology/web"/>
    <x v="2"/>
    <s v="web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s v="publishing/nonfiction"/>
    <x v="5"/>
    <s v="nonfiction"/>
  </r>
  <r>
    <n v="904"/>
    <s v="Rodriguez, Johnson and Jackson"/>
    <s v="Digitized foreground array"/>
    <n v="6500"/>
    <n v="795"/>
    <n v="0.12230769230769231"/>
    <x v="0"/>
    <n v="16"/>
    <n v="49.6875"/>
    <x v="1"/>
    <s v="USD"/>
    <n v="1349326800"/>
    <n v="13496724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s v="theater/plays"/>
    <x v="3"/>
    <s v="plays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s v="film &amp; video/documentary"/>
    <x v="4"/>
    <s v="documentary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s v="theater/plays"/>
    <x v="3"/>
    <s v="plays"/>
  </r>
  <r>
    <n v="908"/>
    <s v="Bryant-Pope"/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s v="games/video games"/>
    <x v="6"/>
    <s v="video games"/>
  </r>
  <r>
    <n v="909"/>
    <s v="Gates, Li and Thompson"/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s v="theater/plays"/>
    <x v="3"/>
    <s v="plays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s v="theater/plays"/>
    <x v="3"/>
    <s v="plays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s v="technology/web"/>
    <x v="2"/>
    <s v="web"/>
  </r>
  <r>
    <n v="912"/>
    <s v="Sanchez-Parsons"/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s v="film &amp; video/drama"/>
    <x v="4"/>
    <s v="drama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s v="film &amp; video/drama"/>
    <x v="4"/>
    <s v="drama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s v="theater/plays"/>
    <x v="3"/>
    <s v="plays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s v="film &amp; video/television"/>
    <x v="4"/>
    <s v="television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s v="photography/photography books"/>
    <x v="7"/>
    <s v="photography books"/>
  </r>
  <r>
    <n v="917"/>
    <s v="Cooper Inc"/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s v="film &amp; video/shorts"/>
    <x v="4"/>
    <s v="shorts"/>
  </r>
  <r>
    <n v="918"/>
    <s v="Jones-Gonzalez"/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s v="publishing/radio &amp; podcasts"/>
    <x v="5"/>
    <s v="radio &amp; podcasts"/>
  </r>
  <r>
    <n v="919"/>
    <s v="Fox Ltd"/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s v="theater/plays"/>
    <x v="3"/>
    <s v="plays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s v="film &amp; video/animation"/>
    <x v="4"/>
    <s v="animation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s v="technology/web"/>
    <x v="2"/>
    <s v="web"/>
  </r>
  <r>
    <n v="922"/>
    <s v="Soto-Anthony"/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s v="music/world music"/>
    <x v="1"/>
    <s v="world music"/>
  </r>
  <r>
    <n v="923"/>
    <s v="Wise and Sons"/>
    <s v="Sharable discrete definition"/>
    <n v="1700"/>
    <n v="4044"/>
    <n v="2.3788235294117648"/>
    <x v="1"/>
    <n v="40"/>
    <n v="101.1"/>
    <x v="1"/>
    <s v="USD"/>
    <n v="1279083600"/>
    <n v="1279170000"/>
    <b v="0"/>
    <b v="0"/>
    <s v="theater/plays"/>
    <x v="3"/>
    <s v="plays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s v="theater/plays"/>
    <x v="3"/>
    <s v="plays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s v="theater/plays"/>
    <x v="3"/>
    <s v="plays"/>
  </r>
  <r>
    <n v="926"/>
    <s v="Brown-Oliver"/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s v="food/food trucks"/>
    <x v="0"/>
    <s v="food trucks"/>
  </r>
  <r>
    <n v="927"/>
    <s v="Davis-Gardner"/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s v="theater/plays"/>
    <x v="3"/>
    <s v="plays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s v="technology/web"/>
    <x v="2"/>
    <s v="web"/>
  </r>
  <r>
    <n v="929"/>
    <s v="Turner-Terrell"/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s v="theater/plays"/>
    <x v="3"/>
    <s v="plays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s v="theater/plays"/>
    <x v="3"/>
    <s v="plays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s v="theater/plays"/>
    <x v="3"/>
    <s v="plays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s v="music/rock"/>
    <x v="1"/>
    <s v="rock"/>
  </r>
  <r>
    <n v="933"/>
    <s v="Espinoza Group"/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s v="theater/plays"/>
    <x v="3"/>
    <s v="plays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s v="theater/plays"/>
    <x v="3"/>
    <s v="plays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s v="theater/plays"/>
    <x v="3"/>
    <s v="plays"/>
  </r>
  <r>
    <n v="936"/>
    <s v="Brown Ltd"/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s v="theater/plays"/>
    <x v="3"/>
    <s v="plays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s v="film &amp; video/documentary"/>
    <x v="4"/>
    <s v="documentary"/>
  </r>
  <r>
    <n v="938"/>
    <s v="Allen Inc"/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s v="games/video games"/>
    <x v="6"/>
    <s v="video games"/>
  </r>
  <r>
    <n v="940"/>
    <s v="Wiggins Ltd"/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s v="technology/web"/>
    <x v="2"/>
    <s v="web"/>
  </r>
  <r>
    <n v="941"/>
    <s v="Luna-Horne"/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s v="theater/plays"/>
    <x v="3"/>
    <s v="plays"/>
  </r>
  <r>
    <n v="942"/>
    <s v="Allen Inc"/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s v="theater/plays"/>
    <x v="3"/>
    <s v="plays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s v="food/food trucks"/>
    <x v="0"/>
    <s v="food trucks"/>
  </r>
  <r>
    <n v="944"/>
    <s v="Walter Inc"/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s v="theater/plays"/>
    <x v="3"/>
    <s v="plays"/>
  </r>
  <r>
    <n v="947"/>
    <s v="Smith-Powell"/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s v="theater/plays"/>
    <x v="3"/>
    <s v="plays"/>
  </r>
  <r>
    <n v="948"/>
    <s v="Smith-Hill"/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s v="film &amp; video/documentary"/>
    <x v="4"/>
    <s v="documentary"/>
  </r>
  <r>
    <n v="949"/>
    <s v="Wright LLC"/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s v="technology/web"/>
    <x v="2"/>
    <s v="web"/>
  </r>
  <r>
    <n v="950"/>
    <s v="Williams, Orozco and Gomez"/>
    <s v="Persistent content-based methodology"/>
    <n v="100"/>
    <n v="5"/>
    <n v="0.05"/>
    <x v="0"/>
    <n v="1"/>
    <n v="5"/>
    <x v="1"/>
    <s v="USD"/>
    <n v="1555390800"/>
    <n v="1555822800"/>
    <b v="0"/>
    <b v="1"/>
    <s v="theater/plays"/>
    <x v="3"/>
    <s v="plays"/>
  </r>
  <r>
    <n v="951"/>
    <s v="Peterson Ltd"/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s v="music/rock"/>
    <x v="1"/>
    <s v="rock"/>
  </r>
  <r>
    <n v="952"/>
    <s v="Cummings-Hayes"/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s v="film &amp; video/documentary"/>
    <x v="4"/>
    <s v="documentary"/>
  </r>
  <r>
    <n v="953"/>
    <s v="Boyle Ltd"/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s v="technology/web"/>
    <x v="2"/>
    <s v="web"/>
  </r>
  <r>
    <n v="955"/>
    <s v="Moss-Obrien"/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s v="theater/plays"/>
    <x v="3"/>
    <s v="plays"/>
  </r>
  <r>
    <n v="956"/>
    <s v="Wood Inc"/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s v="theater/plays"/>
    <x v="3"/>
    <s v="plays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s v="film &amp; video/animation"/>
    <x v="4"/>
    <s v="animation"/>
  </r>
  <r>
    <n v="959"/>
    <s v="Black-Graham"/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s v="publishing/translations"/>
    <x v="5"/>
    <s v="translations"/>
  </r>
  <r>
    <n v="960"/>
    <s v="Robbins Group"/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s v="technology/web"/>
    <x v="2"/>
    <s v="web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s v="publishing/translations"/>
    <x v="5"/>
    <s v="translations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s v="food/food trucks"/>
    <x v="0"/>
    <s v="food trucks"/>
  </r>
  <r>
    <n v="963"/>
    <s v="Rodriguez-Robinson"/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s v="theater/plays"/>
    <x v="3"/>
    <s v="plays"/>
  </r>
  <r>
    <n v="965"/>
    <s v="Nunez-King"/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s v="music/rock"/>
    <x v="1"/>
    <s v="rock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s v="theater/plays"/>
    <x v="3"/>
    <s v="plays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s v="music/world music"/>
    <x v="1"/>
    <s v="world music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s v="food/food trucks"/>
    <x v="0"/>
    <s v="food trucks"/>
  </r>
  <r>
    <n v="969"/>
    <s v="Lopez-King"/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s v="theater/plays"/>
    <x v="3"/>
    <s v="plays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s v="theater/plays"/>
    <x v="3"/>
    <s v="plays"/>
  </r>
  <r>
    <n v="971"/>
    <s v="Garner and Sons"/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s v="technology/web"/>
    <x v="2"/>
    <s v="web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s v="theater/plays"/>
    <x v="3"/>
    <s v="plays"/>
  </r>
  <r>
    <n v="974"/>
    <s v="Thomas, Clay and Mendoza"/>
    <s v="Multi-channeled reciprocal interface"/>
    <n v="800"/>
    <n v="2991"/>
    <n v="3.73875"/>
    <x v="1"/>
    <n v="32"/>
    <n v="93.46875"/>
    <x v="1"/>
    <s v="USD"/>
    <n v="1368853200"/>
    <n v="1368939600"/>
    <b v="0"/>
    <b v="0"/>
    <s v="music/indie rock"/>
    <x v="1"/>
    <s v="indie rock"/>
  </r>
  <r>
    <n v="975"/>
    <s v="Ayala Group"/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s v="theater/plays"/>
    <x v="3"/>
    <s v="plays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s v="food/food trucks"/>
    <x v="0"/>
    <s v="food trucks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s v="games/video games"/>
    <x v="6"/>
    <s v="video games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s v="theater/plays"/>
    <x v="3"/>
    <s v="plays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s v="publishing/nonfiction"/>
    <x v="5"/>
    <s v="nonfiction"/>
  </r>
  <r>
    <n v="981"/>
    <s v="Diaz-Little"/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s v="technology/web"/>
    <x v="2"/>
    <s v="web"/>
  </r>
  <r>
    <n v="982"/>
    <s v="Freeman-French"/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s v="film &amp; video/documentary"/>
    <x v="4"/>
    <s v="documentary"/>
  </r>
  <r>
    <n v="983"/>
    <s v="Beck-Weber"/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s v="film &amp; video/documentary"/>
    <x v="4"/>
    <s v="documentary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s v="theater/plays"/>
    <x v="3"/>
    <s v="plays"/>
  </r>
  <r>
    <n v="985"/>
    <s v="Logan-Curtis"/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s v="music/rock"/>
    <x v="1"/>
    <s v="rock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s v="music/rock"/>
    <x v="1"/>
    <s v="rock"/>
  </r>
  <r>
    <n v="987"/>
    <s v="Wilson Group"/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s v="publishing/radio &amp; podcasts"/>
    <x v="5"/>
    <s v="radio &amp; podcasts"/>
  </r>
  <r>
    <n v="989"/>
    <s v="Hernandez Inc"/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s v="publishing/translations"/>
    <x v="5"/>
    <s v="translations"/>
  </r>
  <r>
    <n v="990"/>
    <s v="Ortiz-Roberts"/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s v="film &amp; video/drama"/>
    <x v="4"/>
    <s v="drama"/>
  </r>
  <r>
    <n v="991"/>
    <s v="Ramirez LLC"/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s v="music/rock"/>
    <x v="1"/>
    <s v="rock"/>
  </r>
  <r>
    <n v="992"/>
    <s v="Morrow Inc"/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s v="film &amp; video/drama"/>
    <x v="4"/>
    <s v="drama"/>
  </r>
  <r>
    <n v="993"/>
    <s v="Erickson-Rogers"/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s v="publishing/translations"/>
    <x v="5"/>
    <s v="translations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s v="food/food trucks"/>
    <x v="0"/>
    <s v="food trucks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s v="theater/plays"/>
    <x v="3"/>
    <s v="plays"/>
  </r>
  <r>
    <n v="997"/>
    <s v="Ball LLC"/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s v="theater/plays"/>
    <x v="3"/>
    <s v="plays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s v="music/indie rock"/>
    <x v="1"/>
    <s v="indie rock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s v="food/food trucks"/>
    <x v="0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s v="0"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s v="0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s v="food/food trucks"/>
    <x v="0"/>
    <x v="0"/>
  </r>
  <r>
    <m/>
    <m/>
    <m/>
    <m/>
    <m/>
    <m/>
    <x v="4"/>
    <m/>
    <m/>
    <x v="7"/>
    <m/>
    <m/>
    <m/>
    <m/>
    <m/>
    <m/>
    <x v="9"/>
    <x v="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s v="0"/>
    <s v="CA"/>
    <s v="CAD"/>
    <n v="1448690400"/>
    <n v="145015920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b v="0"/>
    <b v="0"/>
    <s v="music/rock"/>
    <x v="1"/>
    <s v="rock"/>
    <x v="3"/>
    <d v="2019-09-20T05:00:00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b v="0"/>
    <b v="0"/>
    <s v="film &amp; video/drama"/>
    <x v="4"/>
    <s v="drama"/>
    <x v="10"/>
    <d v="2010-10-01T05:00:00"/>
  </r>
  <r>
    <n v="11"/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b v="0"/>
    <b v="1"/>
    <s v="music/rock"/>
    <x v="1"/>
    <s v="rock"/>
    <x v="41"/>
    <d v="2012-09-30T05:00:00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0.05"/>
    <x v="0"/>
    <n v="1"/>
    <n v="5"/>
    <s v="DK"/>
    <s v="DKK"/>
    <n v="1504069200"/>
    <n v="1504155600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n v="0"/>
    <s v="0"/>
    <s v="US"/>
    <s v="USD"/>
    <n v="1367384400"/>
    <n v="136980360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b v="0"/>
    <b v="1"/>
    <s v="music/rock"/>
    <x v="1"/>
    <s v="rock"/>
    <x v="481"/>
    <d v="2013-12-11T06:00:00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b v="0"/>
    <b v="0"/>
    <s v="food/food trucks"/>
    <x v="0"/>
    <s v="food trucks"/>
    <x v="878"/>
    <d v="2016-07-06T05:00:00"/>
  </r>
  <r>
    <m/>
    <m/>
    <m/>
    <m/>
    <m/>
    <m/>
    <x v="4"/>
    <m/>
    <m/>
    <m/>
    <m/>
    <m/>
    <m/>
    <m/>
    <m/>
    <m/>
    <x v="9"/>
    <m/>
    <x v="87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A79184-6F62-44E8-90C9-A48E411CF563}" name="PivotTable1" cacheId="0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7" rowHeaderCaption="Category" colHeaderCaption="Status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Status by Category" fld="6" subtotal="count" baseField="0" baseItem="0"/>
  </dataFields>
  <chartFormats count="8"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D4DA9-3789-4EC6-B68B-0BE70022E1AF}" name="PivotTable2" cacheId="1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3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88246C-0443-48CD-A1BA-08B044EC6E61}" name="PivotTable2" cacheId="2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9" rowHeaderCaption="Quarter/Month" colHeaderCaption="Status">
  <location ref="A4:F22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Page" multipleItemSelectionAllowed="1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20"/>
    <field x="18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5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G1" sqref="G1:H1048576"/>
    </sheetView>
  </sheetViews>
  <sheetFormatPr defaultColWidth="10.6640625" defaultRowHeight="15.5" x14ac:dyDescent="0.35"/>
  <cols>
    <col min="1" max="1" width="4.1640625" bestFit="1" customWidth="1"/>
    <col min="2" max="2" width="30.6640625" bestFit="1" customWidth="1"/>
    <col min="3" max="3" width="33.5" style="3" customWidth="1"/>
    <col min="6" max="6" width="13.6640625" bestFit="1" customWidth="1"/>
    <col min="8" max="8" width="13" bestFit="1" customWidth="1"/>
    <col min="9" max="9" width="15.4140625" bestFit="1" customWidth="1"/>
    <col min="12" max="13" width="11.1640625" bestFit="1" customWidth="1"/>
    <col min="16" max="16" width="28" hidden="1" customWidth="1"/>
    <col min="17" max="17" width="14" bestFit="1" customWidth="1"/>
    <col min="18" max="18" width="16.9140625" bestFit="1" customWidth="1"/>
    <col min="19" max="19" width="21.08203125" bestFit="1" customWidth="1"/>
    <col min="20" max="20" width="19.9140625" bestFit="1" customWidth="1"/>
  </cols>
  <sheetData>
    <row r="1" spans="1:20" s="1" customFormat="1" x14ac:dyDescent="0.3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2028</v>
      </c>
      <c r="Q1" s="1" t="s">
        <v>2065</v>
      </c>
      <c r="R1" s="1" t="s">
        <v>2031</v>
      </c>
      <c r="S1" s="1" t="s">
        <v>2074</v>
      </c>
      <c r="T1" s="1" t="s">
        <v>2075</v>
      </c>
    </row>
    <row r="2" spans="1:20" x14ac:dyDescent="0.35">
      <c r="A2">
        <v>0</v>
      </c>
      <c r="B2" t="s">
        <v>12</v>
      </c>
      <c r="C2" s="3" t="s">
        <v>13</v>
      </c>
      <c r="D2">
        <v>100</v>
      </c>
      <c r="E2">
        <v>0</v>
      </c>
      <c r="F2" s="4">
        <f>E2/D2</f>
        <v>0</v>
      </c>
      <c r="G2" t="s">
        <v>14</v>
      </c>
      <c r="H2">
        <v>0</v>
      </c>
      <c r="I2" t="str">
        <f>IFERROR(E2/H2, "0")</f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">
        <v>2032</v>
      </c>
      <c r="R2" t="s">
        <v>2033</v>
      </c>
      <c r="S2" s="7">
        <f>(((L2/60)/60)/24)+DATE(1970,1,1)</f>
        <v>42336.25</v>
      </c>
      <c r="T2" s="8">
        <f>(((M2/60)/60)/24)+DATE(1970,1,1)</f>
        <v>42353.25</v>
      </c>
    </row>
    <row r="3" spans="1:20" x14ac:dyDescent="0.35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 t="shared" ref="F3:F66" si="0">E3/D3</f>
        <v>10.4</v>
      </c>
      <c r="G3" t="s">
        <v>20</v>
      </c>
      <c r="H3">
        <v>158</v>
      </c>
      <c r="I3">
        <f t="shared" ref="I3:I66" si="1">IFERROR(E3/H3, "0")</f>
        <v>92.151898734177209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">
        <v>2034</v>
      </c>
      <c r="R3" t="s">
        <v>2035</v>
      </c>
      <c r="S3" s="7">
        <f t="shared" ref="S3:S66" si="2">(((L3/60)/60)/24)+DATE(1970,1,1)</f>
        <v>41870.208333333336</v>
      </c>
      <c r="T3" s="8">
        <f t="shared" ref="T3:T66" si="3">(((M3/60)/60)/24)+DATE(1970,1,1)</f>
        <v>41872.208333333336</v>
      </c>
    </row>
    <row r="4" spans="1:20" ht="31" x14ac:dyDescent="0.35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si="0"/>
        <v>1.3147878228782288</v>
      </c>
      <c r="G4" t="s">
        <v>20</v>
      </c>
      <c r="H4">
        <v>1425</v>
      </c>
      <c r="I4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">
        <v>2036</v>
      </c>
      <c r="R4" t="s">
        <v>2037</v>
      </c>
      <c r="S4" s="7">
        <f t="shared" si="2"/>
        <v>41595.25</v>
      </c>
      <c r="T4" s="8">
        <f t="shared" si="3"/>
        <v>41597.25</v>
      </c>
    </row>
    <row r="5" spans="1:20" ht="31" x14ac:dyDescent="0.35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0"/>
        <v>0.58976190476190471</v>
      </c>
      <c r="G5" t="s">
        <v>14</v>
      </c>
      <c r="H5">
        <v>24</v>
      </c>
      <c r="I5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">
        <v>2034</v>
      </c>
      <c r="R5" t="s">
        <v>2035</v>
      </c>
      <c r="S5" s="7">
        <f t="shared" si="2"/>
        <v>43688.208333333328</v>
      </c>
      <c r="T5" s="8">
        <f t="shared" si="3"/>
        <v>43728.208333333328</v>
      </c>
    </row>
    <row r="6" spans="1:20" x14ac:dyDescent="0.35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0"/>
        <v>0.69276315789473686</v>
      </c>
      <c r="G6" t="s">
        <v>14</v>
      </c>
      <c r="H6">
        <v>53</v>
      </c>
      <c r="I6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">
        <v>2038</v>
      </c>
      <c r="R6" t="s">
        <v>2039</v>
      </c>
      <c r="S6" s="7">
        <f t="shared" si="2"/>
        <v>43485.25</v>
      </c>
      <c r="T6" s="8">
        <f t="shared" si="3"/>
        <v>43489.25</v>
      </c>
    </row>
    <row r="7" spans="1:20" x14ac:dyDescent="0.35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0"/>
        <v>1.7361842105263159</v>
      </c>
      <c r="G7" t="s">
        <v>20</v>
      </c>
      <c r="H7">
        <v>174</v>
      </c>
      <c r="I7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">
        <v>2038</v>
      </c>
      <c r="R7" t="s">
        <v>2039</v>
      </c>
      <c r="S7" s="7">
        <f t="shared" si="2"/>
        <v>41149.208333333336</v>
      </c>
      <c r="T7" s="8">
        <f t="shared" si="3"/>
        <v>41160.208333333336</v>
      </c>
    </row>
    <row r="8" spans="1:20" x14ac:dyDescent="0.35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0"/>
        <v>0.20961538461538462</v>
      </c>
      <c r="G8" t="s">
        <v>14</v>
      </c>
      <c r="H8">
        <v>18</v>
      </c>
      <c r="I8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">
        <v>2040</v>
      </c>
      <c r="R8" t="s">
        <v>2041</v>
      </c>
      <c r="S8" s="7">
        <f t="shared" si="2"/>
        <v>42991.208333333328</v>
      </c>
      <c r="T8" s="8">
        <f t="shared" si="3"/>
        <v>42992.208333333328</v>
      </c>
    </row>
    <row r="9" spans="1:20" x14ac:dyDescent="0.35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0"/>
        <v>3.2757777777777779</v>
      </c>
      <c r="G9" t="s">
        <v>20</v>
      </c>
      <c r="H9">
        <v>227</v>
      </c>
      <c r="I9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">
        <v>2038</v>
      </c>
      <c r="R9" t="s">
        <v>2039</v>
      </c>
      <c r="S9" s="7">
        <f t="shared" si="2"/>
        <v>42229.208333333328</v>
      </c>
      <c r="T9" s="8">
        <f t="shared" si="3"/>
        <v>42231.208333333328</v>
      </c>
    </row>
    <row r="10" spans="1:20" x14ac:dyDescent="0.3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0"/>
        <v>0.19932788374205268</v>
      </c>
      <c r="G10" t="s">
        <v>47</v>
      </c>
      <c r="H10">
        <v>708</v>
      </c>
      <c r="I10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">
        <v>2038</v>
      </c>
      <c r="R10" t="s">
        <v>2039</v>
      </c>
      <c r="S10" s="7">
        <f t="shared" si="2"/>
        <v>40399.208333333336</v>
      </c>
      <c r="T10" s="8">
        <f t="shared" si="3"/>
        <v>40401.208333333336</v>
      </c>
    </row>
    <row r="11" spans="1:20" x14ac:dyDescent="0.3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0"/>
        <v>0.51741935483870971</v>
      </c>
      <c r="G11" t="s">
        <v>14</v>
      </c>
      <c r="H11">
        <v>44</v>
      </c>
      <c r="I11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">
        <v>2034</v>
      </c>
      <c r="R11" t="s">
        <v>2042</v>
      </c>
      <c r="S11" s="7">
        <f t="shared" si="2"/>
        <v>41536.208333333336</v>
      </c>
      <c r="T11" s="8">
        <f t="shared" si="3"/>
        <v>41585.25</v>
      </c>
    </row>
    <row r="12" spans="1:20" x14ac:dyDescent="0.3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0"/>
        <v>2.6611538461538462</v>
      </c>
      <c r="G12" t="s">
        <v>20</v>
      </c>
      <c r="H12">
        <v>220</v>
      </c>
      <c r="I12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">
        <v>2040</v>
      </c>
      <c r="R12" t="s">
        <v>2043</v>
      </c>
      <c r="S12" s="7">
        <f t="shared" si="2"/>
        <v>40404.208333333336</v>
      </c>
      <c r="T12" s="8">
        <f t="shared" si="3"/>
        <v>40452.208333333336</v>
      </c>
    </row>
    <row r="13" spans="1:20" ht="31" x14ac:dyDescent="0.3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0"/>
        <v>0.48095238095238096</v>
      </c>
      <c r="G13" t="s">
        <v>14</v>
      </c>
      <c r="H13">
        <v>27</v>
      </c>
      <c r="I13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">
        <v>2038</v>
      </c>
      <c r="R13" t="s">
        <v>2039</v>
      </c>
      <c r="S13" s="7">
        <f t="shared" si="2"/>
        <v>40442.208333333336</v>
      </c>
      <c r="T13" s="8">
        <f t="shared" si="3"/>
        <v>40448.208333333336</v>
      </c>
    </row>
    <row r="14" spans="1:20" x14ac:dyDescent="0.3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0"/>
        <v>0.89349206349206345</v>
      </c>
      <c r="G14" t="s">
        <v>14</v>
      </c>
      <c r="H14">
        <v>55</v>
      </c>
      <c r="I14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">
        <v>2040</v>
      </c>
      <c r="R14" t="s">
        <v>2043</v>
      </c>
      <c r="S14" s="7">
        <f t="shared" si="2"/>
        <v>43760.208333333328</v>
      </c>
      <c r="T14" s="8">
        <f t="shared" si="3"/>
        <v>43768.208333333328</v>
      </c>
    </row>
    <row r="15" spans="1:20" ht="31" x14ac:dyDescent="0.3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0"/>
        <v>2.4511904761904764</v>
      </c>
      <c r="G15" t="s">
        <v>20</v>
      </c>
      <c r="H15">
        <v>98</v>
      </c>
      <c r="I15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60</v>
      </c>
      <c r="Q15" t="s">
        <v>2034</v>
      </c>
      <c r="R15" t="s">
        <v>2044</v>
      </c>
      <c r="S15" s="7">
        <f t="shared" si="2"/>
        <v>42532.208333333328</v>
      </c>
      <c r="T15" s="8">
        <f t="shared" si="3"/>
        <v>42544.208333333328</v>
      </c>
    </row>
    <row r="16" spans="1:20" x14ac:dyDescent="0.3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0"/>
        <v>0.66769503546099296</v>
      </c>
      <c r="G16" t="s">
        <v>14</v>
      </c>
      <c r="H16">
        <v>200</v>
      </c>
      <c r="I16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60</v>
      </c>
      <c r="Q16" t="s">
        <v>2034</v>
      </c>
      <c r="R16" t="s">
        <v>2044</v>
      </c>
      <c r="S16" s="7">
        <f t="shared" si="2"/>
        <v>40974.25</v>
      </c>
      <c r="T16" s="8">
        <f t="shared" si="3"/>
        <v>41001.208333333336</v>
      </c>
    </row>
    <row r="17" spans="1:20" x14ac:dyDescent="0.3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0"/>
        <v>0.47307881773399013</v>
      </c>
      <c r="G17" t="s">
        <v>14</v>
      </c>
      <c r="H17">
        <v>452</v>
      </c>
      <c r="I17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65</v>
      </c>
      <c r="Q17" t="s">
        <v>2036</v>
      </c>
      <c r="R17" t="s">
        <v>2045</v>
      </c>
      <c r="S17" s="7">
        <f t="shared" si="2"/>
        <v>43809.25</v>
      </c>
      <c r="T17" s="8">
        <f t="shared" si="3"/>
        <v>43813.25</v>
      </c>
    </row>
    <row r="18" spans="1:20" x14ac:dyDescent="0.3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0"/>
        <v>6.4947058823529416</v>
      </c>
      <c r="G18" t="s">
        <v>20</v>
      </c>
      <c r="H18">
        <v>100</v>
      </c>
      <c r="I18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68</v>
      </c>
      <c r="Q18" t="s">
        <v>2046</v>
      </c>
      <c r="R18" t="s">
        <v>2047</v>
      </c>
      <c r="S18" s="7">
        <f t="shared" si="2"/>
        <v>41661.25</v>
      </c>
      <c r="T18" s="8">
        <f t="shared" si="3"/>
        <v>41683.25</v>
      </c>
    </row>
    <row r="19" spans="1:20" x14ac:dyDescent="0.3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0"/>
        <v>1.5939125295508274</v>
      </c>
      <c r="G19" t="s">
        <v>20</v>
      </c>
      <c r="H19">
        <v>1249</v>
      </c>
      <c r="I19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71</v>
      </c>
      <c r="Q19" t="s">
        <v>2040</v>
      </c>
      <c r="R19" t="s">
        <v>2048</v>
      </c>
      <c r="S19" s="7">
        <f t="shared" si="2"/>
        <v>40555.25</v>
      </c>
      <c r="T19" s="8">
        <f t="shared" si="3"/>
        <v>40556.25</v>
      </c>
    </row>
    <row r="20" spans="1:20" x14ac:dyDescent="0.3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0"/>
        <v>0.66912087912087914</v>
      </c>
      <c r="G20" t="s">
        <v>74</v>
      </c>
      <c r="H20">
        <v>135</v>
      </c>
      <c r="I20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">
        <v>2038</v>
      </c>
      <c r="R20" t="s">
        <v>2039</v>
      </c>
      <c r="S20" s="7">
        <f t="shared" si="2"/>
        <v>43351.208333333328</v>
      </c>
      <c r="T20" s="8">
        <f t="shared" si="3"/>
        <v>43359.208333333328</v>
      </c>
    </row>
    <row r="21" spans="1:20" x14ac:dyDescent="0.3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0"/>
        <v>0.48529600000000001</v>
      </c>
      <c r="G21" t="s">
        <v>14</v>
      </c>
      <c r="H21">
        <v>674</v>
      </c>
      <c r="I21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">
        <v>2038</v>
      </c>
      <c r="R21" t="s">
        <v>2039</v>
      </c>
      <c r="S21" s="7">
        <f t="shared" si="2"/>
        <v>43528.25</v>
      </c>
      <c r="T21" s="8">
        <f t="shared" si="3"/>
        <v>43549.208333333328</v>
      </c>
    </row>
    <row r="22" spans="1:20" x14ac:dyDescent="0.3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0"/>
        <v>1.1224279210925645</v>
      </c>
      <c r="G22" t="s">
        <v>20</v>
      </c>
      <c r="H22">
        <v>1396</v>
      </c>
      <c r="I22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">
        <v>2040</v>
      </c>
      <c r="R22" t="s">
        <v>2043</v>
      </c>
      <c r="S22" s="7">
        <f t="shared" si="2"/>
        <v>41848.208333333336</v>
      </c>
      <c r="T22" s="8">
        <f t="shared" si="3"/>
        <v>41848.208333333336</v>
      </c>
    </row>
    <row r="23" spans="1:20" x14ac:dyDescent="0.3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0"/>
        <v>0.40992553191489361</v>
      </c>
      <c r="G23" t="s">
        <v>14</v>
      </c>
      <c r="H23">
        <v>558</v>
      </c>
      <c r="I23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">
        <v>2038</v>
      </c>
      <c r="R23" t="s">
        <v>2039</v>
      </c>
      <c r="S23" s="7">
        <f t="shared" si="2"/>
        <v>40770.208333333336</v>
      </c>
      <c r="T23" s="8">
        <f t="shared" si="3"/>
        <v>40804.208333333336</v>
      </c>
    </row>
    <row r="24" spans="1:20" x14ac:dyDescent="0.3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0"/>
        <v>1.2807106598984772</v>
      </c>
      <c r="G24" t="s">
        <v>20</v>
      </c>
      <c r="H24">
        <v>890</v>
      </c>
      <c r="I24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">
        <v>2038</v>
      </c>
      <c r="R24" t="s">
        <v>2039</v>
      </c>
      <c r="S24" s="7">
        <f t="shared" si="2"/>
        <v>43193.208333333328</v>
      </c>
      <c r="T24" s="8">
        <f t="shared" si="3"/>
        <v>43208.208333333328</v>
      </c>
    </row>
    <row r="25" spans="1:20" x14ac:dyDescent="0.3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0"/>
        <v>3.3204444444444445</v>
      </c>
      <c r="G25" t="s">
        <v>20</v>
      </c>
      <c r="H25">
        <v>142</v>
      </c>
      <c r="I25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">
        <v>2040</v>
      </c>
      <c r="R25" t="s">
        <v>2041</v>
      </c>
      <c r="S25" s="7">
        <f t="shared" si="2"/>
        <v>43510.25</v>
      </c>
      <c r="T25" s="8">
        <f t="shared" si="3"/>
        <v>43563.208333333328</v>
      </c>
    </row>
    <row r="26" spans="1:20" x14ac:dyDescent="0.3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0"/>
        <v>1.1283225108225108</v>
      </c>
      <c r="G26" t="s">
        <v>20</v>
      </c>
      <c r="H26">
        <v>2673</v>
      </c>
      <c r="I26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65</v>
      </c>
      <c r="Q26" t="s">
        <v>2036</v>
      </c>
      <c r="R26" t="s">
        <v>2045</v>
      </c>
      <c r="S26" s="7">
        <f t="shared" si="2"/>
        <v>41811.208333333336</v>
      </c>
      <c r="T26" s="8">
        <f t="shared" si="3"/>
        <v>41813.208333333336</v>
      </c>
    </row>
    <row r="27" spans="1:20" x14ac:dyDescent="0.3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0"/>
        <v>2.1643636363636363</v>
      </c>
      <c r="G27" t="s">
        <v>20</v>
      </c>
      <c r="H27">
        <v>163</v>
      </c>
      <c r="I27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89</v>
      </c>
      <c r="Q27" t="s">
        <v>2049</v>
      </c>
      <c r="R27" t="s">
        <v>2050</v>
      </c>
      <c r="S27" s="7">
        <f t="shared" si="2"/>
        <v>40681.208333333336</v>
      </c>
      <c r="T27" s="8">
        <f t="shared" si="3"/>
        <v>40701.208333333336</v>
      </c>
    </row>
    <row r="28" spans="1:20" x14ac:dyDescent="0.3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0"/>
        <v>0.4819906976744186</v>
      </c>
      <c r="G28" t="s">
        <v>74</v>
      </c>
      <c r="H28">
        <v>1480</v>
      </c>
      <c r="I28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">
        <v>2038</v>
      </c>
      <c r="R28" t="s">
        <v>2039</v>
      </c>
      <c r="S28" s="7">
        <f t="shared" si="2"/>
        <v>43312.208333333328</v>
      </c>
      <c r="T28" s="8">
        <f t="shared" si="3"/>
        <v>43339.208333333328</v>
      </c>
    </row>
    <row r="29" spans="1:20" x14ac:dyDescent="0.3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0"/>
        <v>0.79949999999999999</v>
      </c>
      <c r="G29" t="s">
        <v>14</v>
      </c>
      <c r="H29">
        <v>15</v>
      </c>
      <c r="I29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">
        <v>2034</v>
      </c>
      <c r="R29" t="s">
        <v>2035</v>
      </c>
      <c r="S29" s="7">
        <f t="shared" si="2"/>
        <v>42280.208333333328</v>
      </c>
      <c r="T29" s="8">
        <f t="shared" si="3"/>
        <v>42288.208333333328</v>
      </c>
    </row>
    <row r="30" spans="1:20" x14ac:dyDescent="0.3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0"/>
        <v>1.0522553516819573</v>
      </c>
      <c r="G30" t="s">
        <v>20</v>
      </c>
      <c r="H30">
        <v>2220</v>
      </c>
      <c r="I30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">
        <v>2038</v>
      </c>
      <c r="R30" t="s">
        <v>2039</v>
      </c>
      <c r="S30" s="7">
        <f t="shared" si="2"/>
        <v>40218.25</v>
      </c>
      <c r="T30" s="8">
        <f t="shared" si="3"/>
        <v>40241.25</v>
      </c>
    </row>
    <row r="31" spans="1:20" x14ac:dyDescent="0.3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0"/>
        <v>3.2889978213507627</v>
      </c>
      <c r="G31" t="s">
        <v>20</v>
      </c>
      <c r="H31">
        <v>1606</v>
      </c>
      <c r="I31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t="b">
        <v>0</v>
      </c>
      <c r="O31" t="b">
        <v>0</v>
      </c>
      <c r="P31" t="s">
        <v>100</v>
      </c>
      <c r="Q31" t="s">
        <v>2040</v>
      </c>
      <c r="R31" t="s">
        <v>2051</v>
      </c>
      <c r="S31" s="7">
        <f t="shared" si="2"/>
        <v>43301.208333333328</v>
      </c>
      <c r="T31" s="8">
        <f t="shared" si="3"/>
        <v>43341.208333333328</v>
      </c>
    </row>
    <row r="32" spans="1:20" x14ac:dyDescent="0.3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0"/>
        <v>1.606111111111111</v>
      </c>
      <c r="G32" t="s">
        <v>20</v>
      </c>
      <c r="H32">
        <v>129</v>
      </c>
      <c r="I32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71</v>
      </c>
      <c r="Q32" t="s">
        <v>2040</v>
      </c>
      <c r="R32" t="s">
        <v>2048</v>
      </c>
      <c r="S32" s="7">
        <f t="shared" si="2"/>
        <v>43609.208333333328</v>
      </c>
      <c r="T32" s="8">
        <f t="shared" si="3"/>
        <v>43614.208333333328</v>
      </c>
    </row>
    <row r="33" spans="1:20" x14ac:dyDescent="0.3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0"/>
        <v>3.1</v>
      </c>
      <c r="G33" t="s">
        <v>20</v>
      </c>
      <c r="H33">
        <v>226</v>
      </c>
      <c r="I33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89</v>
      </c>
      <c r="Q33" t="s">
        <v>2049</v>
      </c>
      <c r="R33" t="s">
        <v>2050</v>
      </c>
      <c r="S33" s="7">
        <f t="shared" si="2"/>
        <v>42374.25</v>
      </c>
      <c r="T33" s="8">
        <f t="shared" si="3"/>
        <v>42402.25</v>
      </c>
    </row>
    <row r="34" spans="1:20" x14ac:dyDescent="0.3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0"/>
        <v>0.86807920792079207</v>
      </c>
      <c r="G34" t="s">
        <v>14</v>
      </c>
      <c r="H34">
        <v>2307</v>
      </c>
      <c r="I34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">
        <v>2040</v>
      </c>
      <c r="R34" t="s">
        <v>2041</v>
      </c>
      <c r="S34" s="7">
        <f t="shared" si="2"/>
        <v>43110.25</v>
      </c>
      <c r="T34" s="8">
        <f t="shared" si="3"/>
        <v>43137.25</v>
      </c>
    </row>
    <row r="35" spans="1:20" x14ac:dyDescent="0.3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0"/>
        <v>3.7782071713147412</v>
      </c>
      <c r="G35" t="s">
        <v>20</v>
      </c>
      <c r="H35">
        <v>5419</v>
      </c>
      <c r="I35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">
        <v>2038</v>
      </c>
      <c r="R35" t="s">
        <v>2039</v>
      </c>
      <c r="S35" s="7">
        <f t="shared" si="2"/>
        <v>41917.208333333336</v>
      </c>
      <c r="T35" s="8">
        <f t="shared" si="3"/>
        <v>41954.25</v>
      </c>
    </row>
    <row r="36" spans="1:20" ht="31" x14ac:dyDescent="0.3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0"/>
        <v>1.5080645161290323</v>
      </c>
      <c r="G36" t="s">
        <v>20</v>
      </c>
      <c r="H36">
        <v>165</v>
      </c>
      <c r="I36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">
        <v>2040</v>
      </c>
      <c r="R36" t="s">
        <v>2041</v>
      </c>
      <c r="S36" s="7">
        <f t="shared" si="2"/>
        <v>42817.208333333328</v>
      </c>
      <c r="T36" s="8">
        <f t="shared" si="3"/>
        <v>42822.208333333328</v>
      </c>
    </row>
    <row r="37" spans="1:20" x14ac:dyDescent="0.3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0"/>
        <v>1.5030119521912351</v>
      </c>
      <c r="G37" t="s">
        <v>20</v>
      </c>
      <c r="H37">
        <v>1965</v>
      </c>
      <c r="I37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">
        <v>2040</v>
      </c>
      <c r="R37" t="s">
        <v>2043</v>
      </c>
      <c r="S37" s="7">
        <f t="shared" si="2"/>
        <v>43484.25</v>
      </c>
      <c r="T37" s="8">
        <f t="shared" si="3"/>
        <v>43526.25</v>
      </c>
    </row>
    <row r="38" spans="1:20" x14ac:dyDescent="0.3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0"/>
        <v>1.572857142857143</v>
      </c>
      <c r="G38" t="s">
        <v>20</v>
      </c>
      <c r="H38">
        <v>16</v>
      </c>
      <c r="I38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">
        <v>2038</v>
      </c>
      <c r="R38" t="s">
        <v>2039</v>
      </c>
      <c r="S38" s="7">
        <f t="shared" si="2"/>
        <v>40600.25</v>
      </c>
      <c r="T38" s="8">
        <f t="shared" si="3"/>
        <v>40625.208333333336</v>
      </c>
    </row>
    <row r="39" spans="1:20" ht="31" x14ac:dyDescent="0.3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0"/>
        <v>1.3998765432098765</v>
      </c>
      <c r="G39" t="s">
        <v>20</v>
      </c>
      <c r="H39">
        <v>107</v>
      </c>
      <c r="I39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119</v>
      </c>
      <c r="Q39" t="s">
        <v>2046</v>
      </c>
      <c r="R39" t="s">
        <v>2052</v>
      </c>
      <c r="S39" s="7">
        <f t="shared" si="2"/>
        <v>43744.208333333328</v>
      </c>
      <c r="T39" s="8">
        <f t="shared" si="3"/>
        <v>43777.25</v>
      </c>
    </row>
    <row r="40" spans="1:20" x14ac:dyDescent="0.3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0"/>
        <v>3.2532258064516131</v>
      </c>
      <c r="G40" t="s">
        <v>20</v>
      </c>
      <c r="H40">
        <v>134</v>
      </c>
      <c r="I40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122</v>
      </c>
      <c r="Q40" t="s">
        <v>2053</v>
      </c>
      <c r="R40" t="s">
        <v>2054</v>
      </c>
      <c r="S40" s="7">
        <f t="shared" si="2"/>
        <v>40469.208333333336</v>
      </c>
      <c r="T40" s="8">
        <f t="shared" si="3"/>
        <v>40474.208333333336</v>
      </c>
    </row>
    <row r="41" spans="1:20" x14ac:dyDescent="0.3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0"/>
        <v>0.50777777777777777</v>
      </c>
      <c r="G41" t="s">
        <v>14</v>
      </c>
      <c r="H41">
        <v>88</v>
      </c>
      <c r="I41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">
        <v>2038</v>
      </c>
      <c r="R41" t="s">
        <v>2039</v>
      </c>
      <c r="S41" s="7">
        <f t="shared" si="2"/>
        <v>41330.25</v>
      </c>
      <c r="T41" s="8">
        <f t="shared" si="3"/>
        <v>41344.208333333336</v>
      </c>
    </row>
    <row r="42" spans="1:20" x14ac:dyDescent="0.3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0"/>
        <v>1.6906818181818182</v>
      </c>
      <c r="G42" t="s">
        <v>20</v>
      </c>
      <c r="H42">
        <v>198</v>
      </c>
      <c r="I42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65</v>
      </c>
      <c r="Q42" t="s">
        <v>2036</v>
      </c>
      <c r="R42" t="s">
        <v>2045</v>
      </c>
      <c r="S42" s="7">
        <f t="shared" si="2"/>
        <v>40334.208333333336</v>
      </c>
      <c r="T42" s="8">
        <f t="shared" si="3"/>
        <v>40353.208333333336</v>
      </c>
    </row>
    <row r="43" spans="1:20" x14ac:dyDescent="0.3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0"/>
        <v>2.1292857142857144</v>
      </c>
      <c r="G43" t="s">
        <v>20</v>
      </c>
      <c r="H43">
        <v>111</v>
      </c>
      <c r="I43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">
        <v>2034</v>
      </c>
      <c r="R43" t="s">
        <v>2035</v>
      </c>
      <c r="S43" s="7">
        <f t="shared" si="2"/>
        <v>41156.208333333336</v>
      </c>
      <c r="T43" s="8">
        <f t="shared" si="3"/>
        <v>41182.208333333336</v>
      </c>
    </row>
    <row r="44" spans="1:20" x14ac:dyDescent="0.3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0"/>
        <v>4.4394444444444447</v>
      </c>
      <c r="G44" t="s">
        <v>20</v>
      </c>
      <c r="H44">
        <v>222</v>
      </c>
      <c r="I44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">
        <v>2032</v>
      </c>
      <c r="R44" t="s">
        <v>2033</v>
      </c>
      <c r="S44" s="7">
        <f t="shared" si="2"/>
        <v>40728.208333333336</v>
      </c>
      <c r="T44" s="8">
        <f t="shared" si="3"/>
        <v>40737.208333333336</v>
      </c>
    </row>
    <row r="45" spans="1:20" x14ac:dyDescent="0.3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0"/>
        <v>1.859390243902439</v>
      </c>
      <c r="G45" t="s">
        <v>20</v>
      </c>
      <c r="H45">
        <v>6212</v>
      </c>
      <c r="I45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133</v>
      </c>
      <c r="Q45" t="s">
        <v>2046</v>
      </c>
      <c r="R45" t="s">
        <v>2055</v>
      </c>
      <c r="S45" s="7">
        <f t="shared" si="2"/>
        <v>41844.208333333336</v>
      </c>
      <c r="T45" s="8">
        <f t="shared" si="3"/>
        <v>41860.208333333336</v>
      </c>
    </row>
    <row r="46" spans="1:20" x14ac:dyDescent="0.3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0"/>
        <v>6.5881249999999998</v>
      </c>
      <c r="G46" t="s">
        <v>20</v>
      </c>
      <c r="H46">
        <v>98</v>
      </c>
      <c r="I46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119</v>
      </c>
      <c r="Q46" t="s">
        <v>2046</v>
      </c>
      <c r="R46" t="s">
        <v>2052</v>
      </c>
      <c r="S46" s="7">
        <f t="shared" si="2"/>
        <v>43541.208333333328</v>
      </c>
      <c r="T46" s="8">
        <f t="shared" si="3"/>
        <v>43542.208333333328</v>
      </c>
    </row>
    <row r="47" spans="1:20" ht="31" x14ac:dyDescent="0.3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0"/>
        <v>0.4768421052631579</v>
      </c>
      <c r="G47" t="s">
        <v>14</v>
      </c>
      <c r="H47">
        <v>48</v>
      </c>
      <c r="I47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">
        <v>2038</v>
      </c>
      <c r="R47" t="s">
        <v>2039</v>
      </c>
      <c r="S47" s="7">
        <f t="shared" si="2"/>
        <v>42676.208333333328</v>
      </c>
      <c r="T47" s="8">
        <f t="shared" si="3"/>
        <v>42691.25</v>
      </c>
    </row>
    <row r="48" spans="1:20" x14ac:dyDescent="0.3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0"/>
        <v>1.1478378378378378</v>
      </c>
      <c r="G48" t="s">
        <v>20</v>
      </c>
      <c r="H48">
        <v>92</v>
      </c>
      <c r="I48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">
        <v>2034</v>
      </c>
      <c r="R48" t="s">
        <v>2035</v>
      </c>
      <c r="S48" s="7">
        <f t="shared" si="2"/>
        <v>40367.208333333336</v>
      </c>
      <c r="T48" s="8">
        <f t="shared" si="3"/>
        <v>40390.208333333336</v>
      </c>
    </row>
    <row r="49" spans="1:20" x14ac:dyDescent="0.3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0"/>
        <v>4.7526666666666664</v>
      </c>
      <c r="G49" t="s">
        <v>20</v>
      </c>
      <c r="H49">
        <v>149</v>
      </c>
      <c r="I49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">
        <v>2038</v>
      </c>
      <c r="R49" t="s">
        <v>2039</v>
      </c>
      <c r="S49" s="7">
        <f t="shared" si="2"/>
        <v>41727.208333333336</v>
      </c>
      <c r="T49" s="8">
        <f t="shared" si="3"/>
        <v>41757.208333333336</v>
      </c>
    </row>
    <row r="50" spans="1:20" x14ac:dyDescent="0.3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0"/>
        <v>3.86972972972973</v>
      </c>
      <c r="G50" t="s">
        <v>20</v>
      </c>
      <c r="H50">
        <v>2431</v>
      </c>
      <c r="I50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">
        <v>2038</v>
      </c>
      <c r="R50" t="s">
        <v>2039</v>
      </c>
      <c r="S50" s="7">
        <f t="shared" si="2"/>
        <v>42180.208333333328</v>
      </c>
      <c r="T50" s="8">
        <f t="shared" si="3"/>
        <v>42192.208333333328</v>
      </c>
    </row>
    <row r="51" spans="1:20" x14ac:dyDescent="0.3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0"/>
        <v>1.89625</v>
      </c>
      <c r="G51" t="s">
        <v>20</v>
      </c>
      <c r="H51">
        <v>303</v>
      </c>
      <c r="I51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">
        <v>2034</v>
      </c>
      <c r="R51" t="s">
        <v>2035</v>
      </c>
      <c r="S51" s="7">
        <f t="shared" si="2"/>
        <v>43758.208333333328</v>
      </c>
      <c r="T51" s="8">
        <f t="shared" si="3"/>
        <v>43803.25</v>
      </c>
    </row>
    <row r="52" spans="1:20" ht="31" x14ac:dyDescent="0.35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0"/>
        <v>0.02</v>
      </c>
      <c r="G52" t="s">
        <v>14</v>
      </c>
      <c r="H52">
        <v>1</v>
      </c>
      <c r="I52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t="b">
        <v>0</v>
      </c>
      <c r="O52" t="b">
        <v>0</v>
      </c>
      <c r="P52" t="s">
        <v>148</v>
      </c>
      <c r="Q52" t="s">
        <v>2034</v>
      </c>
      <c r="R52" t="s">
        <v>2056</v>
      </c>
      <c r="S52" s="7">
        <f t="shared" si="2"/>
        <v>41487.208333333336</v>
      </c>
      <c r="T52" s="8">
        <f t="shared" si="3"/>
        <v>41515.208333333336</v>
      </c>
    </row>
    <row r="53" spans="1:20" x14ac:dyDescent="0.3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0"/>
        <v>0.91867805186590767</v>
      </c>
      <c r="G53" t="s">
        <v>14</v>
      </c>
      <c r="H53">
        <v>1467</v>
      </c>
      <c r="I53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65</v>
      </c>
      <c r="Q53" t="s">
        <v>2036</v>
      </c>
      <c r="R53" t="s">
        <v>2045</v>
      </c>
      <c r="S53" s="7">
        <f t="shared" si="2"/>
        <v>40995.208333333336</v>
      </c>
      <c r="T53" s="8">
        <f t="shared" si="3"/>
        <v>41011.208333333336</v>
      </c>
    </row>
    <row r="54" spans="1:20" x14ac:dyDescent="0.3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0"/>
        <v>0.34152777777777776</v>
      </c>
      <c r="G54" t="s">
        <v>14</v>
      </c>
      <c r="H54">
        <v>75</v>
      </c>
      <c r="I54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">
        <v>2038</v>
      </c>
      <c r="R54" t="s">
        <v>2039</v>
      </c>
      <c r="S54" s="7">
        <f t="shared" si="2"/>
        <v>40436.208333333336</v>
      </c>
      <c r="T54" s="8">
        <f t="shared" si="3"/>
        <v>40440.208333333336</v>
      </c>
    </row>
    <row r="55" spans="1:20" x14ac:dyDescent="0.3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0"/>
        <v>1.4040909090909091</v>
      </c>
      <c r="G55" t="s">
        <v>20</v>
      </c>
      <c r="H55">
        <v>209</v>
      </c>
      <c r="I55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">
        <v>2040</v>
      </c>
      <c r="R55" t="s">
        <v>2043</v>
      </c>
      <c r="S55" s="7">
        <f t="shared" si="2"/>
        <v>41779.208333333336</v>
      </c>
      <c r="T55" s="8">
        <f t="shared" si="3"/>
        <v>41818.208333333336</v>
      </c>
    </row>
    <row r="56" spans="1:20" ht="31" x14ac:dyDescent="0.3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0"/>
        <v>0.89866666666666661</v>
      </c>
      <c r="G56" t="s">
        <v>14</v>
      </c>
      <c r="H56">
        <v>120</v>
      </c>
      <c r="I56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65</v>
      </c>
      <c r="Q56" t="s">
        <v>2036</v>
      </c>
      <c r="R56" t="s">
        <v>2045</v>
      </c>
      <c r="S56" s="7">
        <f t="shared" si="2"/>
        <v>43170.25</v>
      </c>
      <c r="T56" s="8">
        <f t="shared" si="3"/>
        <v>43176.208333333328</v>
      </c>
    </row>
    <row r="57" spans="1:20" x14ac:dyDescent="0.3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0"/>
        <v>1.7796969696969698</v>
      </c>
      <c r="G57" t="s">
        <v>20</v>
      </c>
      <c r="H57">
        <v>131</v>
      </c>
      <c r="I57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159</v>
      </c>
      <c r="Q57" t="s">
        <v>2034</v>
      </c>
      <c r="R57" t="s">
        <v>2057</v>
      </c>
      <c r="S57" s="7">
        <f t="shared" si="2"/>
        <v>43311.208333333328</v>
      </c>
      <c r="T57" s="8">
        <f t="shared" si="3"/>
        <v>43316.208333333328</v>
      </c>
    </row>
    <row r="58" spans="1:20" ht="31" x14ac:dyDescent="0.3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0"/>
        <v>1.436625</v>
      </c>
      <c r="G58" t="s">
        <v>20</v>
      </c>
      <c r="H58">
        <v>164</v>
      </c>
      <c r="I58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65</v>
      </c>
      <c r="Q58" t="s">
        <v>2036</v>
      </c>
      <c r="R58" t="s">
        <v>2045</v>
      </c>
      <c r="S58" s="7">
        <f t="shared" si="2"/>
        <v>42014.25</v>
      </c>
      <c r="T58" s="8">
        <f t="shared" si="3"/>
        <v>42021.25</v>
      </c>
    </row>
    <row r="59" spans="1:20" x14ac:dyDescent="0.3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0"/>
        <v>2.1527586206896552</v>
      </c>
      <c r="G59" t="s">
        <v>20</v>
      </c>
      <c r="H59">
        <v>201</v>
      </c>
      <c r="I59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89</v>
      </c>
      <c r="Q59" t="s">
        <v>2049</v>
      </c>
      <c r="R59" t="s">
        <v>2050</v>
      </c>
      <c r="S59" s="7">
        <f t="shared" si="2"/>
        <v>42979.208333333328</v>
      </c>
      <c r="T59" s="8">
        <f t="shared" si="3"/>
        <v>42991.208333333328</v>
      </c>
    </row>
    <row r="60" spans="1:20" x14ac:dyDescent="0.3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0"/>
        <v>2.2711111111111113</v>
      </c>
      <c r="G60" t="s">
        <v>20</v>
      </c>
      <c r="H60">
        <v>211</v>
      </c>
      <c r="I60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">
        <v>2038</v>
      </c>
      <c r="R60" t="s">
        <v>2039</v>
      </c>
      <c r="S60" s="7">
        <f t="shared" si="2"/>
        <v>42268.208333333328</v>
      </c>
      <c r="T60" s="8">
        <f t="shared" si="3"/>
        <v>42281.208333333328</v>
      </c>
    </row>
    <row r="61" spans="1:20" x14ac:dyDescent="0.3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0"/>
        <v>2.7507142857142859</v>
      </c>
      <c r="G61" t="s">
        <v>20</v>
      </c>
      <c r="H61">
        <v>128</v>
      </c>
      <c r="I61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">
        <v>2038</v>
      </c>
      <c r="R61" t="s">
        <v>2039</v>
      </c>
      <c r="S61" s="7">
        <f t="shared" si="2"/>
        <v>42898.208333333328</v>
      </c>
      <c r="T61" s="8">
        <f t="shared" si="3"/>
        <v>42913.208333333328</v>
      </c>
    </row>
    <row r="62" spans="1:20" x14ac:dyDescent="0.3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0"/>
        <v>1.4437048832271762</v>
      </c>
      <c r="G62" t="s">
        <v>20</v>
      </c>
      <c r="H62">
        <v>1600</v>
      </c>
      <c r="I62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">
        <v>2038</v>
      </c>
      <c r="R62" t="s">
        <v>2039</v>
      </c>
      <c r="S62" s="7">
        <f t="shared" si="2"/>
        <v>41107.208333333336</v>
      </c>
      <c r="T62" s="8">
        <f t="shared" si="3"/>
        <v>41110.208333333336</v>
      </c>
    </row>
    <row r="63" spans="1:20" ht="31" x14ac:dyDescent="0.3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0"/>
        <v>0.92745983935742971</v>
      </c>
      <c r="G63" t="s">
        <v>14</v>
      </c>
      <c r="H63">
        <v>2253</v>
      </c>
      <c r="I63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">
        <v>2038</v>
      </c>
      <c r="R63" t="s">
        <v>2039</v>
      </c>
      <c r="S63" s="7">
        <f t="shared" si="2"/>
        <v>40595.25</v>
      </c>
      <c r="T63" s="8">
        <f t="shared" si="3"/>
        <v>40635.208333333336</v>
      </c>
    </row>
    <row r="64" spans="1:20" x14ac:dyDescent="0.3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0"/>
        <v>7.226</v>
      </c>
      <c r="G64" t="s">
        <v>20</v>
      </c>
      <c r="H64">
        <v>249</v>
      </c>
      <c r="I64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">
        <v>2036</v>
      </c>
      <c r="R64" t="s">
        <v>2037</v>
      </c>
      <c r="S64" s="7">
        <f t="shared" si="2"/>
        <v>42160.208333333328</v>
      </c>
      <c r="T64" s="8">
        <f t="shared" si="3"/>
        <v>42161.208333333328</v>
      </c>
    </row>
    <row r="65" spans="1:20" x14ac:dyDescent="0.3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0"/>
        <v>0.11851063829787234</v>
      </c>
      <c r="G65" t="s">
        <v>14</v>
      </c>
      <c r="H65">
        <v>5</v>
      </c>
      <c r="I65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">
        <v>2038</v>
      </c>
      <c r="R65" t="s">
        <v>2039</v>
      </c>
      <c r="S65" s="7">
        <f t="shared" si="2"/>
        <v>42853.208333333328</v>
      </c>
      <c r="T65" s="8">
        <f t="shared" si="3"/>
        <v>42859.208333333328</v>
      </c>
    </row>
    <row r="66" spans="1:20" x14ac:dyDescent="0.3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0"/>
        <v>0.97642857142857142</v>
      </c>
      <c r="G66" t="s">
        <v>14</v>
      </c>
      <c r="H66">
        <v>38</v>
      </c>
      <c r="I66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">
        <v>2036</v>
      </c>
      <c r="R66" t="s">
        <v>2037</v>
      </c>
      <c r="S66" s="7">
        <f t="shared" si="2"/>
        <v>43283.208333333328</v>
      </c>
      <c r="T66" s="8">
        <f t="shared" si="3"/>
        <v>43298.208333333328</v>
      </c>
    </row>
    <row r="67" spans="1:20" x14ac:dyDescent="0.3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ref="F67:F130" si="4">E67/D67</f>
        <v>2.3614754098360655</v>
      </c>
      <c r="G67" t="s">
        <v>20</v>
      </c>
      <c r="H67">
        <v>236</v>
      </c>
      <c r="I67">
        <f t="shared" ref="I67:I130" si="5">IFERROR(E67/H67, "0")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">
        <v>2038</v>
      </c>
      <c r="R67" t="s">
        <v>2039</v>
      </c>
      <c r="S67" s="7">
        <f t="shared" ref="S67:S130" si="6">(((L67/60)/60)/24)+DATE(1970,1,1)</f>
        <v>40570.25</v>
      </c>
      <c r="T67" s="8">
        <f t="shared" ref="T67:T130" si="7">(((M67/60)/60)/24)+DATE(1970,1,1)</f>
        <v>40577.25</v>
      </c>
    </row>
    <row r="68" spans="1:20" x14ac:dyDescent="0.3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si="4"/>
        <v>0.45068965517241377</v>
      </c>
      <c r="G68" t="s">
        <v>14</v>
      </c>
      <c r="H68">
        <v>12</v>
      </c>
      <c r="I68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">
        <v>2038</v>
      </c>
      <c r="R68" t="s">
        <v>2039</v>
      </c>
      <c r="S68" s="7">
        <f t="shared" si="6"/>
        <v>42102.208333333328</v>
      </c>
      <c r="T68" s="8">
        <f t="shared" si="7"/>
        <v>42107.208333333328</v>
      </c>
    </row>
    <row r="69" spans="1:20" ht="31" x14ac:dyDescent="0.3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4"/>
        <v>1.6238567493112948</v>
      </c>
      <c r="G69" t="s">
        <v>20</v>
      </c>
      <c r="H69">
        <v>4065</v>
      </c>
      <c r="I69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65</v>
      </c>
      <c r="Q69" t="s">
        <v>2036</v>
      </c>
      <c r="R69" t="s">
        <v>2045</v>
      </c>
      <c r="S69" s="7">
        <f t="shared" si="6"/>
        <v>40203.25</v>
      </c>
      <c r="T69" s="8">
        <f t="shared" si="7"/>
        <v>40208.25</v>
      </c>
    </row>
    <row r="70" spans="1:20" x14ac:dyDescent="0.3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4"/>
        <v>2.5452631578947367</v>
      </c>
      <c r="G70" t="s">
        <v>20</v>
      </c>
      <c r="H70">
        <v>246</v>
      </c>
      <c r="I70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">
        <v>2038</v>
      </c>
      <c r="R70" t="s">
        <v>2039</v>
      </c>
      <c r="S70" s="7">
        <f t="shared" si="6"/>
        <v>42943.208333333328</v>
      </c>
      <c r="T70" s="8">
        <f t="shared" si="7"/>
        <v>42990.208333333328</v>
      </c>
    </row>
    <row r="71" spans="1:20" x14ac:dyDescent="0.3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4"/>
        <v>0.24063291139240506</v>
      </c>
      <c r="G71" t="s">
        <v>74</v>
      </c>
      <c r="H71">
        <v>17</v>
      </c>
      <c r="I71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">
        <v>2038</v>
      </c>
      <c r="R71" t="s">
        <v>2039</v>
      </c>
      <c r="S71" s="7">
        <f t="shared" si="6"/>
        <v>40531.25</v>
      </c>
      <c r="T71" s="8">
        <f t="shared" si="7"/>
        <v>40565.25</v>
      </c>
    </row>
    <row r="72" spans="1:20" x14ac:dyDescent="0.3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4"/>
        <v>1.2374140625000001</v>
      </c>
      <c r="G72" t="s">
        <v>20</v>
      </c>
      <c r="H72">
        <v>2475</v>
      </c>
      <c r="I72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">
        <v>2038</v>
      </c>
      <c r="R72" t="s">
        <v>2039</v>
      </c>
      <c r="S72" s="7">
        <f t="shared" si="6"/>
        <v>40484.208333333336</v>
      </c>
      <c r="T72" s="8">
        <f t="shared" si="7"/>
        <v>40533.25</v>
      </c>
    </row>
    <row r="73" spans="1:20" ht="31" x14ac:dyDescent="0.3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4"/>
        <v>1.0806666666666667</v>
      </c>
      <c r="G73" t="s">
        <v>20</v>
      </c>
      <c r="H73">
        <v>76</v>
      </c>
      <c r="I73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">
        <v>2038</v>
      </c>
      <c r="R73" t="s">
        <v>2039</v>
      </c>
      <c r="S73" s="7">
        <f t="shared" si="6"/>
        <v>43799.25</v>
      </c>
      <c r="T73" s="8">
        <f t="shared" si="7"/>
        <v>43803.25</v>
      </c>
    </row>
    <row r="74" spans="1:20" x14ac:dyDescent="0.3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4"/>
        <v>6.7033333333333331</v>
      </c>
      <c r="G74" t="s">
        <v>20</v>
      </c>
      <c r="H74">
        <v>54</v>
      </c>
      <c r="I74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71</v>
      </c>
      <c r="Q74" t="s">
        <v>2040</v>
      </c>
      <c r="R74" t="s">
        <v>2048</v>
      </c>
      <c r="S74" s="7">
        <f t="shared" si="6"/>
        <v>42186.208333333328</v>
      </c>
      <c r="T74" s="8">
        <f t="shared" si="7"/>
        <v>42222.208333333328</v>
      </c>
    </row>
    <row r="75" spans="1:20" x14ac:dyDescent="0.3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4"/>
        <v>6.609285714285714</v>
      </c>
      <c r="G75" t="s">
        <v>20</v>
      </c>
      <c r="H75">
        <v>88</v>
      </c>
      <c r="I75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159</v>
      </c>
      <c r="Q75" t="s">
        <v>2034</v>
      </c>
      <c r="R75" t="s">
        <v>2057</v>
      </c>
      <c r="S75" s="7">
        <f t="shared" si="6"/>
        <v>42701.25</v>
      </c>
      <c r="T75" s="8">
        <f t="shared" si="7"/>
        <v>42704.25</v>
      </c>
    </row>
    <row r="76" spans="1:20" x14ac:dyDescent="0.3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4"/>
        <v>1.2246153846153847</v>
      </c>
      <c r="G76" t="s">
        <v>20</v>
      </c>
      <c r="H76">
        <v>85</v>
      </c>
      <c r="I76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148</v>
      </c>
      <c r="Q76" t="s">
        <v>2034</v>
      </c>
      <c r="R76" t="s">
        <v>2056</v>
      </c>
      <c r="S76" s="7">
        <f t="shared" si="6"/>
        <v>42456.208333333328</v>
      </c>
      <c r="T76" s="8">
        <f t="shared" si="7"/>
        <v>42457.208333333328</v>
      </c>
    </row>
    <row r="77" spans="1:20" x14ac:dyDescent="0.3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4"/>
        <v>1.5057731958762886</v>
      </c>
      <c r="G77" t="s">
        <v>20</v>
      </c>
      <c r="H77">
        <v>170</v>
      </c>
      <c r="I77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122</v>
      </c>
      <c r="Q77" t="s">
        <v>2053</v>
      </c>
      <c r="R77" t="s">
        <v>2054</v>
      </c>
      <c r="S77" s="7">
        <f t="shared" si="6"/>
        <v>43296.208333333328</v>
      </c>
      <c r="T77" s="8">
        <f t="shared" si="7"/>
        <v>43304.208333333328</v>
      </c>
    </row>
    <row r="78" spans="1:20" x14ac:dyDescent="0.3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4"/>
        <v>0.78106590724165992</v>
      </c>
      <c r="G78" t="s">
        <v>14</v>
      </c>
      <c r="H78">
        <v>1684</v>
      </c>
      <c r="I78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">
        <v>2038</v>
      </c>
      <c r="R78" t="s">
        <v>2039</v>
      </c>
      <c r="S78" s="7">
        <f t="shared" si="6"/>
        <v>42027.25</v>
      </c>
      <c r="T78" s="8">
        <f t="shared" si="7"/>
        <v>42076.208333333328</v>
      </c>
    </row>
    <row r="79" spans="1:20" x14ac:dyDescent="0.3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4"/>
        <v>0.46947368421052632</v>
      </c>
      <c r="G79" t="s">
        <v>14</v>
      </c>
      <c r="H79">
        <v>56</v>
      </c>
      <c r="I79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71</v>
      </c>
      <c r="Q79" t="s">
        <v>2040</v>
      </c>
      <c r="R79" t="s">
        <v>2048</v>
      </c>
      <c r="S79" s="7">
        <f t="shared" si="6"/>
        <v>40448.208333333336</v>
      </c>
      <c r="T79" s="8">
        <f t="shared" si="7"/>
        <v>40462.208333333336</v>
      </c>
    </row>
    <row r="80" spans="1:20" x14ac:dyDescent="0.3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4"/>
        <v>3.008</v>
      </c>
      <c r="G80" t="s">
        <v>20</v>
      </c>
      <c r="H80">
        <v>330</v>
      </c>
      <c r="I80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206</v>
      </c>
      <c r="Q80" t="s">
        <v>2046</v>
      </c>
      <c r="R80" t="s">
        <v>2058</v>
      </c>
      <c r="S80" s="7">
        <f t="shared" si="6"/>
        <v>43206.208333333328</v>
      </c>
      <c r="T80" s="8">
        <f t="shared" si="7"/>
        <v>43207.208333333328</v>
      </c>
    </row>
    <row r="81" spans="1:20" x14ac:dyDescent="0.3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4"/>
        <v>0.6959861591695502</v>
      </c>
      <c r="G81" t="s">
        <v>14</v>
      </c>
      <c r="H81">
        <v>838</v>
      </c>
      <c r="I81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">
        <v>2038</v>
      </c>
      <c r="R81" t="s">
        <v>2039</v>
      </c>
      <c r="S81" s="7">
        <f t="shared" si="6"/>
        <v>43267.208333333328</v>
      </c>
      <c r="T81" s="8">
        <f t="shared" si="7"/>
        <v>43272.208333333328</v>
      </c>
    </row>
    <row r="82" spans="1:20" x14ac:dyDescent="0.3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4"/>
        <v>6.374545454545455</v>
      </c>
      <c r="G82" t="s">
        <v>20</v>
      </c>
      <c r="H82">
        <v>127</v>
      </c>
      <c r="I82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89</v>
      </c>
      <c r="Q82" t="s">
        <v>2049</v>
      </c>
      <c r="R82" t="s">
        <v>2050</v>
      </c>
      <c r="S82" s="7">
        <f t="shared" si="6"/>
        <v>42976.208333333328</v>
      </c>
      <c r="T82" s="8">
        <f t="shared" si="7"/>
        <v>43006.208333333328</v>
      </c>
    </row>
    <row r="83" spans="1:20" x14ac:dyDescent="0.3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4"/>
        <v>2.253392857142857</v>
      </c>
      <c r="G83" t="s">
        <v>20</v>
      </c>
      <c r="H83">
        <v>411</v>
      </c>
      <c r="I83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">
        <v>2034</v>
      </c>
      <c r="R83" t="s">
        <v>2035</v>
      </c>
      <c r="S83" s="7">
        <f t="shared" si="6"/>
        <v>43062.25</v>
      </c>
      <c r="T83" s="8">
        <f t="shared" si="7"/>
        <v>43087.25</v>
      </c>
    </row>
    <row r="84" spans="1:20" x14ac:dyDescent="0.3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4"/>
        <v>14.973000000000001</v>
      </c>
      <c r="G84" t="s">
        <v>20</v>
      </c>
      <c r="H84">
        <v>180</v>
      </c>
      <c r="I84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89</v>
      </c>
      <c r="Q84" t="s">
        <v>2049</v>
      </c>
      <c r="R84" t="s">
        <v>2050</v>
      </c>
      <c r="S84" s="7">
        <f t="shared" si="6"/>
        <v>43482.25</v>
      </c>
      <c r="T84" s="8">
        <f t="shared" si="7"/>
        <v>43489.25</v>
      </c>
    </row>
    <row r="85" spans="1:20" x14ac:dyDescent="0.3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4"/>
        <v>0.37590225563909774</v>
      </c>
      <c r="G85" t="s">
        <v>14</v>
      </c>
      <c r="H85">
        <v>1000</v>
      </c>
      <c r="I85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">
        <v>2034</v>
      </c>
      <c r="R85" t="s">
        <v>2042</v>
      </c>
      <c r="S85" s="7">
        <f t="shared" si="6"/>
        <v>42579.208333333328</v>
      </c>
      <c r="T85" s="8">
        <f t="shared" si="7"/>
        <v>42601.208333333328</v>
      </c>
    </row>
    <row r="86" spans="1:20" x14ac:dyDescent="0.3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4"/>
        <v>1.3236942675159236</v>
      </c>
      <c r="G86" t="s">
        <v>20</v>
      </c>
      <c r="H86">
        <v>374</v>
      </c>
      <c r="I86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65</v>
      </c>
      <c r="Q86" t="s">
        <v>2036</v>
      </c>
      <c r="R86" t="s">
        <v>2045</v>
      </c>
      <c r="S86" s="7">
        <f t="shared" si="6"/>
        <v>41118.208333333336</v>
      </c>
      <c r="T86" s="8">
        <f t="shared" si="7"/>
        <v>41128.208333333336</v>
      </c>
    </row>
    <row r="87" spans="1:20" x14ac:dyDescent="0.3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4"/>
        <v>1.3122448979591836</v>
      </c>
      <c r="G87" t="s">
        <v>20</v>
      </c>
      <c r="H87">
        <v>71</v>
      </c>
      <c r="I87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60</v>
      </c>
      <c r="Q87" t="s">
        <v>2034</v>
      </c>
      <c r="R87" t="s">
        <v>2044</v>
      </c>
      <c r="S87" s="7">
        <f t="shared" si="6"/>
        <v>40797.208333333336</v>
      </c>
      <c r="T87" s="8">
        <f t="shared" si="7"/>
        <v>40805.208333333336</v>
      </c>
    </row>
    <row r="88" spans="1:20" x14ac:dyDescent="0.3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4"/>
        <v>1.6763513513513513</v>
      </c>
      <c r="G88" t="s">
        <v>20</v>
      </c>
      <c r="H88">
        <v>203</v>
      </c>
      <c r="I88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">
        <v>2038</v>
      </c>
      <c r="R88" t="s">
        <v>2039</v>
      </c>
      <c r="S88" s="7">
        <f t="shared" si="6"/>
        <v>42128.208333333328</v>
      </c>
      <c r="T88" s="8">
        <f t="shared" si="7"/>
        <v>42141.208333333328</v>
      </c>
    </row>
    <row r="89" spans="1:20" ht="31" x14ac:dyDescent="0.3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4"/>
        <v>0.6198488664987406</v>
      </c>
      <c r="G89" t="s">
        <v>14</v>
      </c>
      <c r="H89">
        <v>1482</v>
      </c>
      <c r="I89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">
        <v>2034</v>
      </c>
      <c r="R89" t="s">
        <v>2035</v>
      </c>
      <c r="S89" s="7">
        <f t="shared" si="6"/>
        <v>40610.25</v>
      </c>
      <c r="T89" s="8">
        <f t="shared" si="7"/>
        <v>40621.208333333336</v>
      </c>
    </row>
    <row r="90" spans="1:20" x14ac:dyDescent="0.3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4"/>
        <v>2.6074999999999999</v>
      </c>
      <c r="G90" t="s">
        <v>20</v>
      </c>
      <c r="H90">
        <v>113</v>
      </c>
      <c r="I90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206</v>
      </c>
      <c r="Q90" t="s">
        <v>2046</v>
      </c>
      <c r="R90" t="s">
        <v>2058</v>
      </c>
      <c r="S90" s="7">
        <f t="shared" si="6"/>
        <v>42110.208333333328</v>
      </c>
      <c r="T90" s="8">
        <f t="shared" si="7"/>
        <v>42132.208333333328</v>
      </c>
    </row>
    <row r="91" spans="1:20" x14ac:dyDescent="0.3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4"/>
        <v>2.5258823529411765</v>
      </c>
      <c r="G91" t="s">
        <v>20</v>
      </c>
      <c r="H91">
        <v>96</v>
      </c>
      <c r="I91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">
        <v>2038</v>
      </c>
      <c r="R91" t="s">
        <v>2039</v>
      </c>
      <c r="S91" s="7">
        <f t="shared" si="6"/>
        <v>40283.208333333336</v>
      </c>
      <c r="T91" s="8">
        <f t="shared" si="7"/>
        <v>40285.208333333336</v>
      </c>
    </row>
    <row r="92" spans="1:20" x14ac:dyDescent="0.3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4"/>
        <v>0.7861538461538462</v>
      </c>
      <c r="G92" t="s">
        <v>14</v>
      </c>
      <c r="H92">
        <v>106</v>
      </c>
      <c r="I92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">
        <v>2038</v>
      </c>
      <c r="R92" t="s">
        <v>2039</v>
      </c>
      <c r="S92" s="7">
        <f t="shared" si="6"/>
        <v>42425.25</v>
      </c>
      <c r="T92" s="8">
        <f t="shared" si="7"/>
        <v>42425.25</v>
      </c>
    </row>
    <row r="93" spans="1:20" x14ac:dyDescent="0.3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4"/>
        <v>0.48404406999351912</v>
      </c>
      <c r="G93" t="s">
        <v>14</v>
      </c>
      <c r="H93">
        <v>679</v>
      </c>
      <c r="I93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t="b">
        <v>0</v>
      </c>
      <c r="O93" t="b">
        <v>0</v>
      </c>
      <c r="P93" t="s">
        <v>206</v>
      </c>
      <c r="Q93" t="s">
        <v>2046</v>
      </c>
      <c r="R93" t="s">
        <v>2058</v>
      </c>
      <c r="S93" s="7">
        <f t="shared" si="6"/>
        <v>42588.208333333328</v>
      </c>
      <c r="T93" s="8">
        <f t="shared" si="7"/>
        <v>42616.208333333328</v>
      </c>
    </row>
    <row r="94" spans="1:20" ht="31" x14ac:dyDescent="0.3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4"/>
        <v>2.5887500000000001</v>
      </c>
      <c r="G94" t="s">
        <v>20</v>
      </c>
      <c r="H94">
        <v>498</v>
      </c>
      <c r="I94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t="b">
        <v>0</v>
      </c>
      <c r="O94" t="b">
        <v>1</v>
      </c>
      <c r="P94" t="s">
        <v>89</v>
      </c>
      <c r="Q94" t="s">
        <v>2049</v>
      </c>
      <c r="R94" t="s">
        <v>2050</v>
      </c>
      <c r="S94" s="7">
        <f t="shared" si="6"/>
        <v>40352.208333333336</v>
      </c>
      <c r="T94" s="8">
        <f t="shared" si="7"/>
        <v>40353.208333333336</v>
      </c>
    </row>
    <row r="95" spans="1:20" x14ac:dyDescent="0.3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4"/>
        <v>0.60548713235294116</v>
      </c>
      <c r="G95" t="s">
        <v>74</v>
      </c>
      <c r="H95">
        <v>610</v>
      </c>
      <c r="I95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">
        <v>2038</v>
      </c>
      <c r="R95" t="s">
        <v>2039</v>
      </c>
      <c r="S95" s="7">
        <f t="shared" si="6"/>
        <v>41202.208333333336</v>
      </c>
      <c r="T95" s="8">
        <f t="shared" si="7"/>
        <v>41206.208333333336</v>
      </c>
    </row>
    <row r="96" spans="1:20" x14ac:dyDescent="0.3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4"/>
        <v>3.036896551724138</v>
      </c>
      <c r="G96" t="s">
        <v>20</v>
      </c>
      <c r="H96">
        <v>180</v>
      </c>
      <c r="I96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">
        <v>2036</v>
      </c>
      <c r="R96" t="s">
        <v>2037</v>
      </c>
      <c r="S96" s="7">
        <f t="shared" si="6"/>
        <v>43562.208333333328</v>
      </c>
      <c r="T96" s="8">
        <f t="shared" si="7"/>
        <v>43573.208333333328</v>
      </c>
    </row>
    <row r="97" spans="1:20" ht="31" x14ac:dyDescent="0.3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4"/>
        <v>1.1299999999999999</v>
      </c>
      <c r="G97" t="s">
        <v>20</v>
      </c>
      <c r="H97">
        <v>27</v>
      </c>
      <c r="I97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">
        <v>2040</v>
      </c>
      <c r="R97" t="s">
        <v>2041</v>
      </c>
      <c r="S97" s="7">
        <f t="shared" si="6"/>
        <v>43752.208333333328</v>
      </c>
      <c r="T97" s="8">
        <f t="shared" si="7"/>
        <v>43759.208333333328</v>
      </c>
    </row>
    <row r="98" spans="1:20" x14ac:dyDescent="0.3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4"/>
        <v>2.1737876614060259</v>
      </c>
      <c r="G98" t="s">
        <v>20</v>
      </c>
      <c r="H98">
        <v>2331</v>
      </c>
      <c r="I98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">
        <v>2038</v>
      </c>
      <c r="R98" t="s">
        <v>2039</v>
      </c>
      <c r="S98" s="7">
        <f t="shared" si="6"/>
        <v>40612.25</v>
      </c>
      <c r="T98" s="8">
        <f t="shared" si="7"/>
        <v>40625.208333333336</v>
      </c>
    </row>
    <row r="99" spans="1:20" x14ac:dyDescent="0.3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4"/>
        <v>9.2669230769230762</v>
      </c>
      <c r="G99" t="s">
        <v>20</v>
      </c>
      <c r="H99">
        <v>113</v>
      </c>
      <c r="I99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">
        <v>2032</v>
      </c>
      <c r="R99" t="s">
        <v>2033</v>
      </c>
      <c r="S99" s="7">
        <f t="shared" si="6"/>
        <v>42180.208333333328</v>
      </c>
      <c r="T99" s="8">
        <f t="shared" si="7"/>
        <v>42234.208333333328</v>
      </c>
    </row>
    <row r="100" spans="1:20" x14ac:dyDescent="0.3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4"/>
        <v>0.33692229038854804</v>
      </c>
      <c r="G100" t="s">
        <v>14</v>
      </c>
      <c r="H100">
        <v>1220</v>
      </c>
      <c r="I100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89</v>
      </c>
      <c r="Q100" t="s">
        <v>2049</v>
      </c>
      <c r="R100" t="s">
        <v>2050</v>
      </c>
      <c r="S100" s="7">
        <f t="shared" si="6"/>
        <v>42212.208333333328</v>
      </c>
      <c r="T100" s="8">
        <f t="shared" si="7"/>
        <v>42216.208333333328</v>
      </c>
    </row>
    <row r="101" spans="1:20" ht="31" x14ac:dyDescent="0.3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4"/>
        <v>1.9672368421052631</v>
      </c>
      <c r="G101" t="s">
        <v>20</v>
      </c>
      <c r="H101">
        <v>164</v>
      </c>
      <c r="I101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">
        <v>2038</v>
      </c>
      <c r="R101" t="s">
        <v>2039</v>
      </c>
      <c r="S101" s="7">
        <f t="shared" si="6"/>
        <v>41968.25</v>
      </c>
      <c r="T101" s="8">
        <f t="shared" si="7"/>
        <v>41997.25</v>
      </c>
    </row>
    <row r="102" spans="1:20" x14ac:dyDescent="0.3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4"/>
        <v>0.01</v>
      </c>
      <c r="G102" t="s">
        <v>14</v>
      </c>
      <c r="H102">
        <v>1</v>
      </c>
      <c r="I102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">
        <v>2038</v>
      </c>
      <c r="R102" t="s">
        <v>2039</v>
      </c>
      <c r="S102" s="7">
        <f t="shared" si="6"/>
        <v>40835.208333333336</v>
      </c>
      <c r="T102" s="8">
        <f t="shared" si="7"/>
        <v>40853.208333333336</v>
      </c>
    </row>
    <row r="103" spans="1:20" x14ac:dyDescent="0.3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4"/>
        <v>10.214444444444444</v>
      </c>
      <c r="G103" t="s">
        <v>20</v>
      </c>
      <c r="H103">
        <v>164</v>
      </c>
      <c r="I103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">
        <v>2034</v>
      </c>
      <c r="R103" t="s">
        <v>2042</v>
      </c>
      <c r="S103" s="7">
        <f t="shared" si="6"/>
        <v>42056.25</v>
      </c>
      <c r="T103" s="8">
        <f t="shared" si="7"/>
        <v>42063.25</v>
      </c>
    </row>
    <row r="104" spans="1:20" x14ac:dyDescent="0.3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4"/>
        <v>2.8167567567567566</v>
      </c>
      <c r="G104" t="s">
        <v>20</v>
      </c>
      <c r="H104">
        <v>336</v>
      </c>
      <c r="I104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65</v>
      </c>
      <c r="Q104" t="s">
        <v>2036</v>
      </c>
      <c r="R104" t="s">
        <v>2045</v>
      </c>
      <c r="S104" s="7">
        <f t="shared" si="6"/>
        <v>43234.208333333328</v>
      </c>
      <c r="T104" s="8">
        <f t="shared" si="7"/>
        <v>43241.208333333328</v>
      </c>
    </row>
    <row r="105" spans="1:20" x14ac:dyDescent="0.3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4"/>
        <v>0.24610000000000001</v>
      </c>
      <c r="G105" t="s">
        <v>14</v>
      </c>
      <c r="H105">
        <v>37</v>
      </c>
      <c r="I105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">
        <v>2034</v>
      </c>
      <c r="R105" t="s">
        <v>2042</v>
      </c>
      <c r="S105" s="7">
        <f t="shared" si="6"/>
        <v>40475.208333333336</v>
      </c>
      <c r="T105" s="8">
        <f t="shared" si="7"/>
        <v>40484.208333333336</v>
      </c>
    </row>
    <row r="106" spans="1:20" x14ac:dyDescent="0.3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4"/>
        <v>1.4314010067114094</v>
      </c>
      <c r="G106" t="s">
        <v>20</v>
      </c>
      <c r="H106">
        <v>1917</v>
      </c>
      <c r="I106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60</v>
      </c>
      <c r="Q106" t="s">
        <v>2034</v>
      </c>
      <c r="R106" t="s">
        <v>2044</v>
      </c>
      <c r="S106" s="7">
        <f t="shared" si="6"/>
        <v>42878.208333333328</v>
      </c>
      <c r="T106" s="8">
        <f t="shared" si="7"/>
        <v>42879.208333333328</v>
      </c>
    </row>
    <row r="107" spans="1:20" x14ac:dyDescent="0.3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4"/>
        <v>1.4454411764705883</v>
      </c>
      <c r="G107" t="s">
        <v>20</v>
      </c>
      <c r="H107">
        <v>95</v>
      </c>
      <c r="I107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">
        <v>2036</v>
      </c>
      <c r="R107" t="s">
        <v>2037</v>
      </c>
      <c r="S107" s="7">
        <f t="shared" si="6"/>
        <v>41366.208333333336</v>
      </c>
      <c r="T107" s="8">
        <f t="shared" si="7"/>
        <v>41384.208333333336</v>
      </c>
    </row>
    <row r="108" spans="1:20" x14ac:dyDescent="0.3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4"/>
        <v>3.5912820512820511</v>
      </c>
      <c r="G108" t="s">
        <v>20</v>
      </c>
      <c r="H108">
        <v>147</v>
      </c>
      <c r="I108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">
        <v>2038</v>
      </c>
      <c r="R108" t="s">
        <v>2039</v>
      </c>
      <c r="S108" s="7">
        <f t="shared" si="6"/>
        <v>43716.208333333328</v>
      </c>
      <c r="T108" s="8">
        <f t="shared" si="7"/>
        <v>43721.208333333328</v>
      </c>
    </row>
    <row r="109" spans="1:20" ht="31" x14ac:dyDescent="0.3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4"/>
        <v>1.8648571428571428</v>
      </c>
      <c r="G109" t="s">
        <v>20</v>
      </c>
      <c r="H109">
        <v>86</v>
      </c>
      <c r="I109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">
        <v>2038</v>
      </c>
      <c r="R109" t="s">
        <v>2039</v>
      </c>
      <c r="S109" s="7">
        <f t="shared" si="6"/>
        <v>43213.208333333328</v>
      </c>
      <c r="T109" s="8">
        <f t="shared" si="7"/>
        <v>43230.208333333328</v>
      </c>
    </row>
    <row r="110" spans="1:20" ht="31" x14ac:dyDescent="0.3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4"/>
        <v>5.9526666666666666</v>
      </c>
      <c r="G110" t="s">
        <v>20</v>
      </c>
      <c r="H110">
        <v>83</v>
      </c>
      <c r="I110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">
        <v>2040</v>
      </c>
      <c r="R110" t="s">
        <v>2041</v>
      </c>
      <c r="S110" s="7">
        <f t="shared" si="6"/>
        <v>41005.208333333336</v>
      </c>
      <c r="T110" s="8">
        <f t="shared" si="7"/>
        <v>41042.208333333336</v>
      </c>
    </row>
    <row r="111" spans="1:20" x14ac:dyDescent="0.3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4"/>
        <v>0.5921153846153846</v>
      </c>
      <c r="G111" t="s">
        <v>14</v>
      </c>
      <c r="H111">
        <v>60</v>
      </c>
      <c r="I111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269</v>
      </c>
      <c r="Q111" t="s">
        <v>2040</v>
      </c>
      <c r="R111" t="s">
        <v>2059</v>
      </c>
      <c r="S111" s="7">
        <f t="shared" si="6"/>
        <v>41651.25</v>
      </c>
      <c r="T111" s="8">
        <f t="shared" si="7"/>
        <v>41653.25</v>
      </c>
    </row>
    <row r="112" spans="1:20" ht="31" x14ac:dyDescent="0.3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4"/>
        <v>0.14962780898876404</v>
      </c>
      <c r="G112" t="s">
        <v>14</v>
      </c>
      <c r="H112">
        <v>296</v>
      </c>
      <c r="I112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">
        <v>2032</v>
      </c>
      <c r="R112" t="s">
        <v>2033</v>
      </c>
      <c r="S112" s="7">
        <f t="shared" si="6"/>
        <v>43354.208333333328</v>
      </c>
      <c r="T112" s="8">
        <f t="shared" si="7"/>
        <v>43373.208333333328</v>
      </c>
    </row>
    <row r="113" spans="1:20" x14ac:dyDescent="0.3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4"/>
        <v>1.1995602605863191</v>
      </c>
      <c r="G113" t="s">
        <v>20</v>
      </c>
      <c r="H113">
        <v>676</v>
      </c>
      <c r="I113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133</v>
      </c>
      <c r="Q113" t="s">
        <v>2046</v>
      </c>
      <c r="R113" t="s">
        <v>2055</v>
      </c>
      <c r="S113" s="7">
        <f t="shared" si="6"/>
        <v>41174.208333333336</v>
      </c>
      <c r="T113" s="8">
        <f t="shared" si="7"/>
        <v>41180.208333333336</v>
      </c>
    </row>
    <row r="114" spans="1:20" x14ac:dyDescent="0.3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4"/>
        <v>2.6882978723404256</v>
      </c>
      <c r="G114" t="s">
        <v>20</v>
      </c>
      <c r="H114">
        <v>361</v>
      </c>
      <c r="I114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">
        <v>2036</v>
      </c>
      <c r="R114" t="s">
        <v>2037</v>
      </c>
      <c r="S114" s="7">
        <f t="shared" si="6"/>
        <v>41875.208333333336</v>
      </c>
      <c r="T114" s="8">
        <f t="shared" si="7"/>
        <v>41890.208333333336</v>
      </c>
    </row>
    <row r="115" spans="1:20" x14ac:dyDescent="0.3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4"/>
        <v>3.7687878787878786</v>
      </c>
      <c r="G115" t="s">
        <v>20</v>
      </c>
      <c r="H115">
        <v>131</v>
      </c>
      <c r="I115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">
        <v>2032</v>
      </c>
      <c r="R115" t="s">
        <v>2033</v>
      </c>
      <c r="S115" s="7">
        <f t="shared" si="6"/>
        <v>42990.208333333328</v>
      </c>
      <c r="T115" s="8">
        <f t="shared" si="7"/>
        <v>42997.208333333328</v>
      </c>
    </row>
    <row r="116" spans="1:20" x14ac:dyDescent="0.3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4"/>
        <v>7.2715789473684209</v>
      </c>
      <c r="G116" t="s">
        <v>20</v>
      </c>
      <c r="H116">
        <v>126</v>
      </c>
      <c r="I116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65</v>
      </c>
      <c r="Q116" t="s">
        <v>2036</v>
      </c>
      <c r="R116" t="s">
        <v>2045</v>
      </c>
      <c r="S116" s="7">
        <f t="shared" si="6"/>
        <v>43564.208333333328</v>
      </c>
      <c r="T116" s="8">
        <f t="shared" si="7"/>
        <v>43565.208333333328</v>
      </c>
    </row>
    <row r="117" spans="1:20" x14ac:dyDescent="0.3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4"/>
        <v>0.87211757648470301</v>
      </c>
      <c r="G117" t="s">
        <v>14</v>
      </c>
      <c r="H117">
        <v>3304</v>
      </c>
      <c r="I117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t="b">
        <v>0</v>
      </c>
      <c r="O117" t="b">
        <v>0</v>
      </c>
      <c r="P117" t="s">
        <v>119</v>
      </c>
      <c r="Q117" t="s">
        <v>2046</v>
      </c>
      <c r="R117" t="s">
        <v>2052</v>
      </c>
      <c r="S117" s="7">
        <f t="shared" si="6"/>
        <v>43056.25</v>
      </c>
      <c r="T117" s="8">
        <f t="shared" si="7"/>
        <v>43091.25</v>
      </c>
    </row>
    <row r="118" spans="1:20" ht="31" x14ac:dyDescent="0.3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4"/>
        <v>0.88</v>
      </c>
      <c r="G118" t="s">
        <v>14</v>
      </c>
      <c r="H118">
        <v>73</v>
      </c>
      <c r="I118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">
        <v>2038</v>
      </c>
      <c r="R118" t="s">
        <v>2039</v>
      </c>
      <c r="S118" s="7">
        <f t="shared" si="6"/>
        <v>42265.208333333328</v>
      </c>
      <c r="T118" s="8">
        <f t="shared" si="7"/>
        <v>42266.208333333328</v>
      </c>
    </row>
    <row r="119" spans="1:20" x14ac:dyDescent="0.3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4"/>
        <v>1.7393877551020409</v>
      </c>
      <c r="G119" t="s">
        <v>20</v>
      </c>
      <c r="H119">
        <v>275</v>
      </c>
      <c r="I119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269</v>
      </c>
      <c r="Q119" t="s">
        <v>2040</v>
      </c>
      <c r="R119" t="s">
        <v>2059</v>
      </c>
      <c r="S119" s="7">
        <f t="shared" si="6"/>
        <v>40808.208333333336</v>
      </c>
      <c r="T119" s="8">
        <f t="shared" si="7"/>
        <v>40814.208333333336</v>
      </c>
    </row>
    <row r="120" spans="1:20" x14ac:dyDescent="0.3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4"/>
        <v>1.1761111111111111</v>
      </c>
      <c r="G120" t="s">
        <v>20</v>
      </c>
      <c r="H120">
        <v>67</v>
      </c>
      <c r="I120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122</v>
      </c>
      <c r="Q120" t="s">
        <v>2053</v>
      </c>
      <c r="R120" t="s">
        <v>2054</v>
      </c>
      <c r="S120" s="7">
        <f t="shared" si="6"/>
        <v>41665.25</v>
      </c>
      <c r="T120" s="8">
        <f t="shared" si="7"/>
        <v>41671.25</v>
      </c>
    </row>
    <row r="121" spans="1:20" ht="31" x14ac:dyDescent="0.3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4"/>
        <v>2.1496</v>
      </c>
      <c r="G121" t="s">
        <v>20</v>
      </c>
      <c r="H121">
        <v>154</v>
      </c>
      <c r="I121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">
        <v>2040</v>
      </c>
      <c r="R121" t="s">
        <v>2041</v>
      </c>
      <c r="S121" s="7">
        <f t="shared" si="6"/>
        <v>41806.208333333336</v>
      </c>
      <c r="T121" s="8">
        <f t="shared" si="7"/>
        <v>41823.208333333336</v>
      </c>
    </row>
    <row r="122" spans="1:20" x14ac:dyDescent="0.3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4"/>
        <v>1.4949667110519307</v>
      </c>
      <c r="G122" t="s">
        <v>20</v>
      </c>
      <c r="H122">
        <v>1782</v>
      </c>
      <c r="I122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292</v>
      </c>
      <c r="Q122" t="s">
        <v>2049</v>
      </c>
      <c r="R122" t="s">
        <v>2060</v>
      </c>
      <c r="S122" s="7">
        <f t="shared" si="6"/>
        <v>42111.208333333328</v>
      </c>
      <c r="T122" s="8">
        <f t="shared" si="7"/>
        <v>42115.208333333328</v>
      </c>
    </row>
    <row r="123" spans="1:20" x14ac:dyDescent="0.3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4"/>
        <v>2.1933995584988963</v>
      </c>
      <c r="G123" t="s">
        <v>20</v>
      </c>
      <c r="H123">
        <v>903</v>
      </c>
      <c r="I123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89</v>
      </c>
      <c r="Q123" t="s">
        <v>2049</v>
      </c>
      <c r="R123" t="s">
        <v>2050</v>
      </c>
      <c r="S123" s="7">
        <f t="shared" si="6"/>
        <v>41917.208333333336</v>
      </c>
      <c r="T123" s="8">
        <f t="shared" si="7"/>
        <v>41930.208333333336</v>
      </c>
    </row>
    <row r="124" spans="1:20" x14ac:dyDescent="0.3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4"/>
        <v>0.64367690058479532</v>
      </c>
      <c r="G124" t="s">
        <v>14</v>
      </c>
      <c r="H124">
        <v>3387</v>
      </c>
      <c r="I124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119</v>
      </c>
      <c r="Q124" t="s">
        <v>2046</v>
      </c>
      <c r="R124" t="s">
        <v>2052</v>
      </c>
      <c r="S124" s="7">
        <f t="shared" si="6"/>
        <v>41970.25</v>
      </c>
      <c r="T124" s="8">
        <f t="shared" si="7"/>
        <v>41997.25</v>
      </c>
    </row>
    <row r="125" spans="1:20" x14ac:dyDescent="0.3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4"/>
        <v>0.18622397298818233</v>
      </c>
      <c r="G125" t="s">
        <v>14</v>
      </c>
      <c r="H125">
        <v>662</v>
      </c>
      <c r="I125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">
        <v>2038</v>
      </c>
      <c r="R125" t="s">
        <v>2039</v>
      </c>
      <c r="S125" s="7">
        <f t="shared" si="6"/>
        <v>42332.25</v>
      </c>
      <c r="T125" s="8">
        <f t="shared" si="7"/>
        <v>42335.25</v>
      </c>
    </row>
    <row r="126" spans="1:20" x14ac:dyDescent="0.3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4"/>
        <v>3.6776923076923076</v>
      </c>
      <c r="G126" t="s">
        <v>20</v>
      </c>
      <c r="H126">
        <v>94</v>
      </c>
      <c r="I126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t="b">
        <v>0</v>
      </c>
      <c r="O126" t="b">
        <v>0</v>
      </c>
      <c r="P126" t="s">
        <v>122</v>
      </c>
      <c r="Q126" t="s">
        <v>2053</v>
      </c>
      <c r="R126" t="s">
        <v>2054</v>
      </c>
      <c r="S126" s="7">
        <f t="shared" si="6"/>
        <v>43598.208333333328</v>
      </c>
      <c r="T126" s="8">
        <f t="shared" si="7"/>
        <v>43651.208333333328</v>
      </c>
    </row>
    <row r="127" spans="1:20" x14ac:dyDescent="0.3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4"/>
        <v>1.5990566037735849</v>
      </c>
      <c r="G127" t="s">
        <v>20</v>
      </c>
      <c r="H127">
        <v>180</v>
      </c>
      <c r="I127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">
        <v>2038</v>
      </c>
      <c r="R127" t="s">
        <v>2039</v>
      </c>
      <c r="S127" s="7">
        <f t="shared" si="6"/>
        <v>43362.208333333328</v>
      </c>
      <c r="T127" s="8">
        <f t="shared" si="7"/>
        <v>43366.208333333328</v>
      </c>
    </row>
    <row r="128" spans="1:20" x14ac:dyDescent="0.3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4"/>
        <v>0.38633185349611543</v>
      </c>
      <c r="G128" t="s">
        <v>14</v>
      </c>
      <c r="H128">
        <v>774</v>
      </c>
      <c r="I128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">
        <v>2038</v>
      </c>
      <c r="R128" t="s">
        <v>2039</v>
      </c>
      <c r="S128" s="7">
        <f t="shared" si="6"/>
        <v>42596.208333333328</v>
      </c>
      <c r="T128" s="8">
        <f t="shared" si="7"/>
        <v>42624.208333333328</v>
      </c>
    </row>
    <row r="129" spans="1:20" x14ac:dyDescent="0.3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4"/>
        <v>0.51421511627906979</v>
      </c>
      <c r="G129" t="s">
        <v>14</v>
      </c>
      <c r="H129">
        <v>672</v>
      </c>
      <c r="I129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">
        <v>2038</v>
      </c>
      <c r="R129" t="s">
        <v>2039</v>
      </c>
      <c r="S129" s="7">
        <f t="shared" si="6"/>
        <v>40310.208333333336</v>
      </c>
      <c r="T129" s="8">
        <f t="shared" si="7"/>
        <v>40313.208333333336</v>
      </c>
    </row>
    <row r="130" spans="1:20" x14ac:dyDescent="0.3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4"/>
        <v>0.60334277620396604</v>
      </c>
      <c r="G130" t="s">
        <v>74</v>
      </c>
      <c r="H130">
        <v>532</v>
      </c>
      <c r="I130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">
        <v>2034</v>
      </c>
      <c r="R130" t="s">
        <v>2035</v>
      </c>
      <c r="S130" s="7">
        <f t="shared" si="6"/>
        <v>40417.208333333336</v>
      </c>
      <c r="T130" s="8">
        <f t="shared" si="7"/>
        <v>40430.208333333336</v>
      </c>
    </row>
    <row r="131" spans="1:20" x14ac:dyDescent="0.3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ref="F131:F194" si="8">E131/D131</f>
        <v>3.2026936026936029E-2</v>
      </c>
      <c r="G131" t="s">
        <v>74</v>
      </c>
      <c r="H131">
        <v>55</v>
      </c>
      <c r="I131">
        <f t="shared" ref="I131:I194" si="9">IFERROR(E131/H131, "0")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">
        <v>2032</v>
      </c>
      <c r="R131" t="s">
        <v>2033</v>
      </c>
      <c r="S131" s="7">
        <f t="shared" ref="S131:S194" si="10">(((L131/60)/60)/24)+DATE(1970,1,1)</f>
        <v>42038.25</v>
      </c>
      <c r="T131" s="8">
        <f t="shared" ref="T131:T194" si="11">(((M131/60)/60)/24)+DATE(1970,1,1)</f>
        <v>42063.25</v>
      </c>
    </row>
    <row r="132" spans="1:20" x14ac:dyDescent="0.3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si="8"/>
        <v>1.5546875</v>
      </c>
      <c r="G132" t="s">
        <v>20</v>
      </c>
      <c r="H132">
        <v>533</v>
      </c>
      <c r="I132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">
        <v>2040</v>
      </c>
      <c r="R132" t="s">
        <v>2043</v>
      </c>
      <c r="S132" s="7">
        <f t="shared" si="10"/>
        <v>40842.208333333336</v>
      </c>
      <c r="T132" s="8">
        <f t="shared" si="11"/>
        <v>40858.25</v>
      </c>
    </row>
    <row r="133" spans="1:20" ht="31" x14ac:dyDescent="0.3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8"/>
        <v>1.0085974499089254</v>
      </c>
      <c r="G133" t="s">
        <v>20</v>
      </c>
      <c r="H133">
        <v>2443</v>
      </c>
      <c r="I133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">
        <v>2036</v>
      </c>
      <c r="R133" t="s">
        <v>2037</v>
      </c>
      <c r="S133" s="7">
        <f t="shared" si="10"/>
        <v>41607.25</v>
      </c>
      <c r="T133" s="8">
        <f t="shared" si="11"/>
        <v>41620.25</v>
      </c>
    </row>
    <row r="134" spans="1:20" x14ac:dyDescent="0.3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8"/>
        <v>1.1618181818181819</v>
      </c>
      <c r="G134" t="s">
        <v>20</v>
      </c>
      <c r="H134">
        <v>89</v>
      </c>
      <c r="I134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">
        <v>2038</v>
      </c>
      <c r="R134" t="s">
        <v>2039</v>
      </c>
      <c r="S134" s="7">
        <f t="shared" si="10"/>
        <v>43112.25</v>
      </c>
      <c r="T134" s="8">
        <f t="shared" si="11"/>
        <v>43128.25</v>
      </c>
    </row>
    <row r="135" spans="1:20" x14ac:dyDescent="0.3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8"/>
        <v>3.1077777777777778</v>
      </c>
      <c r="G135" t="s">
        <v>20</v>
      </c>
      <c r="H135">
        <v>159</v>
      </c>
      <c r="I135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319</v>
      </c>
      <c r="Q135" t="s">
        <v>2034</v>
      </c>
      <c r="R135" t="s">
        <v>2061</v>
      </c>
      <c r="S135" s="7">
        <f t="shared" si="10"/>
        <v>40767.208333333336</v>
      </c>
      <c r="T135" s="8">
        <f t="shared" si="11"/>
        <v>40789.208333333336</v>
      </c>
    </row>
    <row r="136" spans="1:20" x14ac:dyDescent="0.3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8"/>
        <v>0.89736683417085428</v>
      </c>
      <c r="G136" t="s">
        <v>14</v>
      </c>
      <c r="H136">
        <v>940</v>
      </c>
      <c r="I136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">
        <v>2040</v>
      </c>
      <c r="R136" t="s">
        <v>2041</v>
      </c>
      <c r="S136" s="7">
        <f t="shared" si="10"/>
        <v>40713.208333333336</v>
      </c>
      <c r="T136" s="8">
        <f t="shared" si="11"/>
        <v>40762.208333333336</v>
      </c>
    </row>
    <row r="137" spans="1:20" x14ac:dyDescent="0.3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8"/>
        <v>0.71272727272727276</v>
      </c>
      <c r="G137" t="s">
        <v>14</v>
      </c>
      <c r="H137">
        <v>117</v>
      </c>
      <c r="I137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">
        <v>2038</v>
      </c>
      <c r="R137" t="s">
        <v>2039</v>
      </c>
      <c r="S137" s="7">
        <f t="shared" si="10"/>
        <v>41340.25</v>
      </c>
      <c r="T137" s="8">
        <f t="shared" si="11"/>
        <v>41345.208333333336</v>
      </c>
    </row>
    <row r="138" spans="1:20" x14ac:dyDescent="0.3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8"/>
        <v>3.2862318840579711E-2</v>
      </c>
      <c r="G138" t="s">
        <v>74</v>
      </c>
      <c r="H138">
        <v>58</v>
      </c>
      <c r="I138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">
        <v>2040</v>
      </c>
      <c r="R138" t="s">
        <v>2043</v>
      </c>
      <c r="S138" s="7">
        <f t="shared" si="10"/>
        <v>41797.208333333336</v>
      </c>
      <c r="T138" s="8">
        <f t="shared" si="11"/>
        <v>41809.208333333336</v>
      </c>
    </row>
    <row r="139" spans="1:20" x14ac:dyDescent="0.3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8"/>
        <v>2.617777777777778</v>
      </c>
      <c r="G139" t="s">
        <v>20</v>
      </c>
      <c r="H139">
        <v>50</v>
      </c>
      <c r="I139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68</v>
      </c>
      <c r="Q139" t="s">
        <v>2046</v>
      </c>
      <c r="R139" t="s">
        <v>2047</v>
      </c>
      <c r="S139" s="7">
        <f t="shared" si="10"/>
        <v>40457.208333333336</v>
      </c>
      <c r="T139" s="8">
        <f t="shared" si="11"/>
        <v>40463.208333333336</v>
      </c>
    </row>
    <row r="140" spans="1:20" ht="31" x14ac:dyDescent="0.3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8"/>
        <v>0.96</v>
      </c>
      <c r="G140" t="s">
        <v>14</v>
      </c>
      <c r="H140">
        <v>115</v>
      </c>
      <c r="I140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292</v>
      </c>
      <c r="Q140" t="s">
        <v>2049</v>
      </c>
      <c r="R140" t="s">
        <v>2060</v>
      </c>
      <c r="S140" s="7">
        <f t="shared" si="10"/>
        <v>41180.208333333336</v>
      </c>
      <c r="T140" s="8">
        <f t="shared" si="11"/>
        <v>41186.208333333336</v>
      </c>
    </row>
    <row r="141" spans="1:20" x14ac:dyDescent="0.3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8"/>
        <v>0.20896851248642778</v>
      </c>
      <c r="G141" t="s">
        <v>14</v>
      </c>
      <c r="H141">
        <v>326</v>
      </c>
      <c r="I141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65</v>
      </c>
      <c r="Q141" t="s">
        <v>2036</v>
      </c>
      <c r="R141" t="s">
        <v>2045</v>
      </c>
      <c r="S141" s="7">
        <f t="shared" si="10"/>
        <v>42115.208333333328</v>
      </c>
      <c r="T141" s="8">
        <f t="shared" si="11"/>
        <v>42131.208333333328</v>
      </c>
    </row>
    <row r="142" spans="1:20" ht="31" x14ac:dyDescent="0.3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8"/>
        <v>2.2316363636363636</v>
      </c>
      <c r="G142" t="s">
        <v>20</v>
      </c>
      <c r="H142">
        <v>186</v>
      </c>
      <c r="I142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">
        <v>2040</v>
      </c>
      <c r="R142" t="s">
        <v>2041</v>
      </c>
      <c r="S142" s="7">
        <f t="shared" si="10"/>
        <v>43156.25</v>
      </c>
      <c r="T142" s="8">
        <f t="shared" si="11"/>
        <v>43161.25</v>
      </c>
    </row>
    <row r="143" spans="1:20" x14ac:dyDescent="0.3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8"/>
        <v>1.0159097978227061</v>
      </c>
      <c r="G143" t="s">
        <v>20</v>
      </c>
      <c r="H143">
        <v>1071</v>
      </c>
      <c r="I143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">
        <v>2036</v>
      </c>
      <c r="R143" t="s">
        <v>2037</v>
      </c>
      <c r="S143" s="7">
        <f t="shared" si="10"/>
        <v>42167.208333333328</v>
      </c>
      <c r="T143" s="8">
        <f t="shared" si="11"/>
        <v>42173.208333333328</v>
      </c>
    </row>
    <row r="144" spans="1:20" ht="31" x14ac:dyDescent="0.3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8"/>
        <v>2.3003999999999998</v>
      </c>
      <c r="G144" t="s">
        <v>20</v>
      </c>
      <c r="H144">
        <v>117</v>
      </c>
      <c r="I144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">
        <v>2036</v>
      </c>
      <c r="R144" t="s">
        <v>2037</v>
      </c>
      <c r="S144" s="7">
        <f t="shared" si="10"/>
        <v>41005.208333333336</v>
      </c>
      <c r="T144" s="8">
        <f t="shared" si="11"/>
        <v>41046.208333333336</v>
      </c>
    </row>
    <row r="145" spans="1:20" x14ac:dyDescent="0.3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8"/>
        <v>1.355925925925926</v>
      </c>
      <c r="G145" t="s">
        <v>20</v>
      </c>
      <c r="H145">
        <v>70</v>
      </c>
      <c r="I145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60</v>
      </c>
      <c r="Q145" t="s">
        <v>2034</v>
      </c>
      <c r="R145" t="s">
        <v>2044</v>
      </c>
      <c r="S145" s="7">
        <f t="shared" si="10"/>
        <v>40357.208333333336</v>
      </c>
      <c r="T145" s="8">
        <f t="shared" si="11"/>
        <v>40377.208333333336</v>
      </c>
    </row>
    <row r="146" spans="1:20" x14ac:dyDescent="0.3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8"/>
        <v>1.2909999999999999</v>
      </c>
      <c r="G146" t="s">
        <v>20</v>
      </c>
      <c r="H146">
        <v>135</v>
      </c>
      <c r="I146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">
        <v>2038</v>
      </c>
      <c r="R146" t="s">
        <v>2039</v>
      </c>
      <c r="S146" s="7">
        <f t="shared" si="10"/>
        <v>43633.208333333328</v>
      </c>
      <c r="T146" s="8">
        <f t="shared" si="11"/>
        <v>43641.208333333328</v>
      </c>
    </row>
    <row r="147" spans="1:20" x14ac:dyDescent="0.3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8"/>
        <v>2.3651200000000001</v>
      </c>
      <c r="G147" t="s">
        <v>20</v>
      </c>
      <c r="H147">
        <v>768</v>
      </c>
      <c r="I147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t="b">
        <v>0</v>
      </c>
      <c r="O147" t="b">
        <v>0</v>
      </c>
      <c r="P147" t="s">
        <v>65</v>
      </c>
      <c r="Q147" t="s">
        <v>2036</v>
      </c>
      <c r="R147" t="s">
        <v>2045</v>
      </c>
      <c r="S147" s="7">
        <f t="shared" si="10"/>
        <v>41889.208333333336</v>
      </c>
      <c r="T147" s="8">
        <f t="shared" si="11"/>
        <v>41894.208333333336</v>
      </c>
    </row>
    <row r="148" spans="1:20" ht="31" x14ac:dyDescent="0.3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8"/>
        <v>0.17249999999999999</v>
      </c>
      <c r="G148" t="s">
        <v>74</v>
      </c>
      <c r="H148">
        <v>51</v>
      </c>
      <c r="I148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">
        <v>2038</v>
      </c>
      <c r="R148" t="s">
        <v>2039</v>
      </c>
      <c r="S148" s="7">
        <f t="shared" si="10"/>
        <v>40855.25</v>
      </c>
      <c r="T148" s="8">
        <f t="shared" si="11"/>
        <v>40875.25</v>
      </c>
    </row>
    <row r="149" spans="1:20" ht="31" x14ac:dyDescent="0.3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8"/>
        <v>1.1249397590361445</v>
      </c>
      <c r="G149" t="s">
        <v>20</v>
      </c>
      <c r="H149">
        <v>199</v>
      </c>
      <c r="I149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">
        <v>2038</v>
      </c>
      <c r="R149" t="s">
        <v>2039</v>
      </c>
      <c r="S149" s="7">
        <f t="shared" si="10"/>
        <v>42534.208333333328</v>
      </c>
      <c r="T149" s="8">
        <f t="shared" si="11"/>
        <v>42540.208333333328</v>
      </c>
    </row>
    <row r="150" spans="1:20" x14ac:dyDescent="0.3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8"/>
        <v>1.2102150537634409</v>
      </c>
      <c r="G150" t="s">
        <v>20</v>
      </c>
      <c r="H150">
        <v>107</v>
      </c>
      <c r="I150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65</v>
      </c>
      <c r="Q150" t="s">
        <v>2036</v>
      </c>
      <c r="R150" t="s">
        <v>2045</v>
      </c>
      <c r="S150" s="7">
        <f t="shared" si="10"/>
        <v>42941.208333333328</v>
      </c>
      <c r="T150" s="8">
        <f t="shared" si="11"/>
        <v>42950.208333333328</v>
      </c>
    </row>
    <row r="151" spans="1:20" x14ac:dyDescent="0.3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8"/>
        <v>2.1987096774193549</v>
      </c>
      <c r="G151" t="s">
        <v>20</v>
      </c>
      <c r="H151">
        <v>195</v>
      </c>
      <c r="I151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60</v>
      </c>
      <c r="Q151" t="s">
        <v>2034</v>
      </c>
      <c r="R151" t="s">
        <v>2044</v>
      </c>
      <c r="S151" s="7">
        <f t="shared" si="10"/>
        <v>41275.25</v>
      </c>
      <c r="T151" s="8">
        <f t="shared" si="11"/>
        <v>41327.25</v>
      </c>
    </row>
    <row r="152" spans="1:20" x14ac:dyDescent="0.3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8"/>
        <v>0.01</v>
      </c>
      <c r="G152" t="s">
        <v>14</v>
      </c>
      <c r="H152">
        <v>1</v>
      </c>
      <c r="I152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">
        <v>2034</v>
      </c>
      <c r="R152" t="s">
        <v>2035</v>
      </c>
      <c r="S152" s="7">
        <f t="shared" si="10"/>
        <v>43450.25</v>
      </c>
      <c r="T152" s="8">
        <f t="shared" si="11"/>
        <v>43451.25</v>
      </c>
    </row>
    <row r="153" spans="1:20" x14ac:dyDescent="0.3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8"/>
        <v>0.64166909620991253</v>
      </c>
      <c r="G153" t="s">
        <v>14</v>
      </c>
      <c r="H153">
        <v>1467</v>
      </c>
      <c r="I153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">
        <v>2034</v>
      </c>
      <c r="R153" t="s">
        <v>2042</v>
      </c>
      <c r="S153" s="7">
        <f t="shared" si="10"/>
        <v>41799.208333333336</v>
      </c>
      <c r="T153" s="8">
        <f t="shared" si="11"/>
        <v>41850.208333333336</v>
      </c>
    </row>
    <row r="154" spans="1:20" x14ac:dyDescent="0.3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8"/>
        <v>4.2306746987951804</v>
      </c>
      <c r="G154" t="s">
        <v>20</v>
      </c>
      <c r="H154">
        <v>3376</v>
      </c>
      <c r="I154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60</v>
      </c>
      <c r="Q154" t="s">
        <v>2034</v>
      </c>
      <c r="R154" t="s">
        <v>2044</v>
      </c>
      <c r="S154" s="7">
        <f t="shared" si="10"/>
        <v>42783.25</v>
      </c>
      <c r="T154" s="8">
        <f t="shared" si="11"/>
        <v>42790.25</v>
      </c>
    </row>
    <row r="155" spans="1:20" x14ac:dyDescent="0.3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8"/>
        <v>0.92984160506863778</v>
      </c>
      <c r="G155" t="s">
        <v>14</v>
      </c>
      <c r="H155">
        <v>5681</v>
      </c>
      <c r="I155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">
        <v>2038</v>
      </c>
      <c r="R155" t="s">
        <v>2039</v>
      </c>
      <c r="S155" s="7">
        <f t="shared" si="10"/>
        <v>41201.208333333336</v>
      </c>
      <c r="T155" s="8">
        <f t="shared" si="11"/>
        <v>41207.208333333336</v>
      </c>
    </row>
    <row r="156" spans="1:20" x14ac:dyDescent="0.3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8"/>
        <v>0.58756567425569173</v>
      </c>
      <c r="G156" t="s">
        <v>14</v>
      </c>
      <c r="H156">
        <v>1059</v>
      </c>
      <c r="I156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60</v>
      </c>
      <c r="Q156" t="s">
        <v>2034</v>
      </c>
      <c r="R156" t="s">
        <v>2044</v>
      </c>
      <c r="S156" s="7">
        <f t="shared" si="10"/>
        <v>42502.208333333328</v>
      </c>
      <c r="T156" s="8">
        <f t="shared" si="11"/>
        <v>42525.208333333328</v>
      </c>
    </row>
    <row r="157" spans="1:20" x14ac:dyDescent="0.3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8"/>
        <v>0.65022222222222226</v>
      </c>
      <c r="G157" t="s">
        <v>14</v>
      </c>
      <c r="H157">
        <v>1194</v>
      </c>
      <c r="I157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">
        <v>2038</v>
      </c>
      <c r="R157" t="s">
        <v>2039</v>
      </c>
      <c r="S157" s="7">
        <f t="shared" si="10"/>
        <v>40262.208333333336</v>
      </c>
      <c r="T157" s="8">
        <f t="shared" si="11"/>
        <v>40277.208333333336</v>
      </c>
    </row>
    <row r="158" spans="1:20" x14ac:dyDescent="0.3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8"/>
        <v>0.73939560439560437</v>
      </c>
      <c r="G158" t="s">
        <v>74</v>
      </c>
      <c r="H158">
        <v>379</v>
      </c>
      <c r="I158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">
        <v>2034</v>
      </c>
      <c r="R158" t="s">
        <v>2035</v>
      </c>
      <c r="S158" s="7">
        <f t="shared" si="10"/>
        <v>43743.208333333328</v>
      </c>
      <c r="T158" s="8">
        <f t="shared" si="11"/>
        <v>43767.208333333328</v>
      </c>
    </row>
    <row r="159" spans="1:20" x14ac:dyDescent="0.3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8"/>
        <v>0.52666666666666662</v>
      </c>
      <c r="G159" t="s">
        <v>14</v>
      </c>
      <c r="H159">
        <v>30</v>
      </c>
      <c r="I159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122</v>
      </c>
      <c r="Q159" t="s">
        <v>2053</v>
      </c>
      <c r="R159" t="s">
        <v>2054</v>
      </c>
      <c r="S159" s="7">
        <f t="shared" si="10"/>
        <v>41638.25</v>
      </c>
      <c r="T159" s="8">
        <f t="shared" si="11"/>
        <v>41650.25</v>
      </c>
    </row>
    <row r="160" spans="1:20" x14ac:dyDescent="0.3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8"/>
        <v>2.2095238095238097</v>
      </c>
      <c r="G160" t="s">
        <v>20</v>
      </c>
      <c r="H160">
        <v>41</v>
      </c>
      <c r="I160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">
        <v>2034</v>
      </c>
      <c r="R160" t="s">
        <v>2035</v>
      </c>
      <c r="S160" s="7">
        <f t="shared" si="10"/>
        <v>42346.25</v>
      </c>
      <c r="T160" s="8">
        <f t="shared" si="11"/>
        <v>42347.25</v>
      </c>
    </row>
    <row r="161" spans="1:20" x14ac:dyDescent="0.3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8"/>
        <v>1.0001150627615063</v>
      </c>
      <c r="G161" t="s">
        <v>20</v>
      </c>
      <c r="H161">
        <v>1821</v>
      </c>
      <c r="I161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">
        <v>2038</v>
      </c>
      <c r="R161" t="s">
        <v>2039</v>
      </c>
      <c r="S161" s="7">
        <f t="shared" si="10"/>
        <v>43551.208333333328</v>
      </c>
      <c r="T161" s="8">
        <f t="shared" si="11"/>
        <v>43569.208333333328</v>
      </c>
    </row>
    <row r="162" spans="1:20" x14ac:dyDescent="0.3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8"/>
        <v>1.6231249999999999</v>
      </c>
      <c r="G162" t="s">
        <v>20</v>
      </c>
      <c r="H162">
        <v>164</v>
      </c>
      <c r="I162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65</v>
      </c>
      <c r="Q162" t="s">
        <v>2036</v>
      </c>
      <c r="R162" t="s">
        <v>2045</v>
      </c>
      <c r="S162" s="7">
        <f t="shared" si="10"/>
        <v>43582.208333333328</v>
      </c>
      <c r="T162" s="8">
        <f t="shared" si="11"/>
        <v>43598.208333333328</v>
      </c>
    </row>
    <row r="163" spans="1:20" ht="31" x14ac:dyDescent="0.3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8"/>
        <v>0.78181818181818186</v>
      </c>
      <c r="G163" t="s">
        <v>14</v>
      </c>
      <c r="H163">
        <v>75</v>
      </c>
      <c r="I163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">
        <v>2036</v>
      </c>
      <c r="R163" t="s">
        <v>2037</v>
      </c>
      <c r="S163" s="7">
        <f t="shared" si="10"/>
        <v>42270.208333333328</v>
      </c>
      <c r="T163" s="8">
        <f t="shared" si="11"/>
        <v>42276.208333333328</v>
      </c>
    </row>
    <row r="164" spans="1:20" ht="31" x14ac:dyDescent="0.3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8"/>
        <v>1.4973770491803278</v>
      </c>
      <c r="G164" t="s">
        <v>20</v>
      </c>
      <c r="H164">
        <v>157</v>
      </c>
      <c r="I164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">
        <v>2034</v>
      </c>
      <c r="R164" t="s">
        <v>2035</v>
      </c>
      <c r="S164" s="7">
        <f t="shared" si="10"/>
        <v>43442.25</v>
      </c>
      <c r="T164" s="8">
        <f t="shared" si="11"/>
        <v>43472.25</v>
      </c>
    </row>
    <row r="165" spans="1:20" x14ac:dyDescent="0.3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8"/>
        <v>2.5325714285714285</v>
      </c>
      <c r="G165" t="s">
        <v>20</v>
      </c>
      <c r="H165">
        <v>246</v>
      </c>
      <c r="I165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122</v>
      </c>
      <c r="Q165" t="s">
        <v>2053</v>
      </c>
      <c r="R165" t="s">
        <v>2054</v>
      </c>
      <c r="S165" s="7">
        <f t="shared" si="10"/>
        <v>43028.208333333328</v>
      </c>
      <c r="T165" s="8">
        <f t="shared" si="11"/>
        <v>43077.25</v>
      </c>
    </row>
    <row r="166" spans="1:20" x14ac:dyDescent="0.3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8"/>
        <v>1.0016943521594683</v>
      </c>
      <c r="G166" t="s">
        <v>20</v>
      </c>
      <c r="H166">
        <v>1396</v>
      </c>
      <c r="I166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">
        <v>2038</v>
      </c>
      <c r="R166" t="s">
        <v>2039</v>
      </c>
      <c r="S166" s="7">
        <f t="shared" si="10"/>
        <v>43016.208333333328</v>
      </c>
      <c r="T166" s="8">
        <f t="shared" si="11"/>
        <v>43017.208333333328</v>
      </c>
    </row>
    <row r="167" spans="1:20" x14ac:dyDescent="0.3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8"/>
        <v>1.2199004424778761</v>
      </c>
      <c r="G167" t="s">
        <v>20</v>
      </c>
      <c r="H167">
        <v>2506</v>
      </c>
      <c r="I167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">
        <v>2036</v>
      </c>
      <c r="R167" t="s">
        <v>2037</v>
      </c>
      <c r="S167" s="7">
        <f t="shared" si="10"/>
        <v>42948.208333333328</v>
      </c>
      <c r="T167" s="8">
        <f t="shared" si="11"/>
        <v>42980.208333333328</v>
      </c>
    </row>
    <row r="168" spans="1:20" x14ac:dyDescent="0.3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8"/>
        <v>1.3713265306122449</v>
      </c>
      <c r="G168" t="s">
        <v>20</v>
      </c>
      <c r="H168">
        <v>244</v>
      </c>
      <c r="I168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122</v>
      </c>
      <c r="Q168" t="s">
        <v>2053</v>
      </c>
      <c r="R168" t="s">
        <v>2054</v>
      </c>
      <c r="S168" s="7">
        <f t="shared" si="10"/>
        <v>40534.25</v>
      </c>
      <c r="T168" s="8">
        <f t="shared" si="11"/>
        <v>40538.25</v>
      </c>
    </row>
    <row r="169" spans="1:20" x14ac:dyDescent="0.3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8"/>
        <v>4.155384615384615</v>
      </c>
      <c r="G169" t="s">
        <v>20</v>
      </c>
      <c r="H169">
        <v>146</v>
      </c>
      <c r="I169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">
        <v>2038</v>
      </c>
      <c r="R169" t="s">
        <v>2039</v>
      </c>
      <c r="S169" s="7">
        <f t="shared" si="10"/>
        <v>41435.208333333336</v>
      </c>
      <c r="T169" s="8">
        <f t="shared" si="11"/>
        <v>41445.208333333336</v>
      </c>
    </row>
    <row r="170" spans="1:20" x14ac:dyDescent="0.3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8"/>
        <v>0.3130913348946136</v>
      </c>
      <c r="G170" t="s">
        <v>14</v>
      </c>
      <c r="H170">
        <v>955</v>
      </c>
      <c r="I170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60</v>
      </c>
      <c r="Q170" t="s">
        <v>2034</v>
      </c>
      <c r="R170" t="s">
        <v>2044</v>
      </c>
      <c r="S170" s="7">
        <f t="shared" si="10"/>
        <v>43518.25</v>
      </c>
      <c r="T170" s="8">
        <f t="shared" si="11"/>
        <v>43541.208333333328</v>
      </c>
    </row>
    <row r="171" spans="1:20" x14ac:dyDescent="0.3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8"/>
        <v>4.240815450643777</v>
      </c>
      <c r="G171" t="s">
        <v>20</v>
      </c>
      <c r="H171">
        <v>1267</v>
      </c>
      <c r="I171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100</v>
      </c>
      <c r="Q171" t="s">
        <v>2040</v>
      </c>
      <c r="R171" t="s">
        <v>2051</v>
      </c>
      <c r="S171" s="7">
        <f t="shared" si="10"/>
        <v>41077.208333333336</v>
      </c>
      <c r="T171" s="8">
        <f t="shared" si="11"/>
        <v>41105.208333333336</v>
      </c>
    </row>
    <row r="172" spans="1:20" x14ac:dyDescent="0.3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8"/>
        <v>2.9388623072833599E-2</v>
      </c>
      <c r="G172" t="s">
        <v>14</v>
      </c>
      <c r="H172">
        <v>67</v>
      </c>
      <c r="I172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60</v>
      </c>
      <c r="Q172" t="s">
        <v>2034</v>
      </c>
      <c r="R172" t="s">
        <v>2044</v>
      </c>
      <c r="S172" s="7">
        <f t="shared" si="10"/>
        <v>42950.208333333328</v>
      </c>
      <c r="T172" s="8">
        <f t="shared" si="11"/>
        <v>42957.208333333328</v>
      </c>
    </row>
    <row r="173" spans="1:20" ht="31" x14ac:dyDescent="0.3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8"/>
        <v>0.1063265306122449</v>
      </c>
      <c r="G173" t="s">
        <v>14</v>
      </c>
      <c r="H173">
        <v>5</v>
      </c>
      <c r="I173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206</v>
      </c>
      <c r="Q173" t="s">
        <v>2046</v>
      </c>
      <c r="R173" t="s">
        <v>2058</v>
      </c>
      <c r="S173" s="7">
        <f t="shared" si="10"/>
        <v>41718.208333333336</v>
      </c>
      <c r="T173" s="8">
        <f t="shared" si="11"/>
        <v>41740.208333333336</v>
      </c>
    </row>
    <row r="174" spans="1:20" x14ac:dyDescent="0.3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8"/>
        <v>0.82874999999999999</v>
      </c>
      <c r="G174" t="s">
        <v>14</v>
      </c>
      <c r="H174">
        <v>26</v>
      </c>
      <c r="I174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">
        <v>2040</v>
      </c>
      <c r="R174" t="s">
        <v>2041</v>
      </c>
      <c r="S174" s="7">
        <f t="shared" si="10"/>
        <v>41839.208333333336</v>
      </c>
      <c r="T174" s="8">
        <f t="shared" si="11"/>
        <v>41854.208333333336</v>
      </c>
    </row>
    <row r="175" spans="1:20" x14ac:dyDescent="0.3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8"/>
        <v>1.6301447776628748</v>
      </c>
      <c r="G175" t="s">
        <v>20</v>
      </c>
      <c r="H175">
        <v>1561</v>
      </c>
      <c r="I175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">
        <v>2038</v>
      </c>
      <c r="R175" t="s">
        <v>2039</v>
      </c>
      <c r="S175" s="7">
        <f t="shared" si="10"/>
        <v>41412.208333333336</v>
      </c>
      <c r="T175" s="8">
        <f t="shared" si="11"/>
        <v>41418.208333333336</v>
      </c>
    </row>
    <row r="176" spans="1:20" x14ac:dyDescent="0.3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8"/>
        <v>8.9466666666666672</v>
      </c>
      <c r="G176" t="s">
        <v>20</v>
      </c>
      <c r="H176">
        <v>48</v>
      </c>
      <c r="I176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65</v>
      </c>
      <c r="Q176" t="s">
        <v>2036</v>
      </c>
      <c r="R176" t="s">
        <v>2045</v>
      </c>
      <c r="S176" s="7">
        <f t="shared" si="10"/>
        <v>42282.208333333328</v>
      </c>
      <c r="T176" s="8">
        <f t="shared" si="11"/>
        <v>42283.208333333328</v>
      </c>
    </row>
    <row r="177" spans="1:20" x14ac:dyDescent="0.3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8"/>
        <v>0.26191501103752757</v>
      </c>
      <c r="G177" t="s">
        <v>14</v>
      </c>
      <c r="H177">
        <v>1130</v>
      </c>
      <c r="I177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">
        <v>2038</v>
      </c>
      <c r="R177" t="s">
        <v>2039</v>
      </c>
      <c r="S177" s="7">
        <f t="shared" si="10"/>
        <v>42613.208333333328</v>
      </c>
      <c r="T177" s="8">
        <f t="shared" si="11"/>
        <v>42632.208333333328</v>
      </c>
    </row>
    <row r="178" spans="1:20" ht="31" x14ac:dyDescent="0.3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8"/>
        <v>0.74834782608695649</v>
      </c>
      <c r="G178" t="s">
        <v>14</v>
      </c>
      <c r="H178">
        <v>782</v>
      </c>
      <c r="I178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">
        <v>2038</v>
      </c>
      <c r="R178" t="s">
        <v>2039</v>
      </c>
      <c r="S178" s="7">
        <f t="shared" si="10"/>
        <v>42616.208333333328</v>
      </c>
      <c r="T178" s="8">
        <f t="shared" si="11"/>
        <v>42625.208333333328</v>
      </c>
    </row>
    <row r="179" spans="1:20" x14ac:dyDescent="0.3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8"/>
        <v>4.1647680412371137</v>
      </c>
      <c r="G179" t="s">
        <v>20</v>
      </c>
      <c r="H179">
        <v>2739</v>
      </c>
      <c r="I179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">
        <v>2038</v>
      </c>
      <c r="R179" t="s">
        <v>2039</v>
      </c>
      <c r="S179" s="7">
        <f t="shared" si="10"/>
        <v>40497.25</v>
      </c>
      <c r="T179" s="8">
        <f t="shared" si="11"/>
        <v>40522.25</v>
      </c>
    </row>
    <row r="180" spans="1:20" x14ac:dyDescent="0.3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8"/>
        <v>0.96208333333333329</v>
      </c>
      <c r="G180" t="s">
        <v>14</v>
      </c>
      <c r="H180">
        <v>210</v>
      </c>
      <c r="I180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">
        <v>2032</v>
      </c>
      <c r="R180" t="s">
        <v>2033</v>
      </c>
      <c r="S180" s="7">
        <f t="shared" si="10"/>
        <v>42999.208333333328</v>
      </c>
      <c r="T180" s="8">
        <f t="shared" si="11"/>
        <v>43008.208333333328</v>
      </c>
    </row>
    <row r="181" spans="1:20" ht="31" x14ac:dyDescent="0.3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8"/>
        <v>3.5771910112359548</v>
      </c>
      <c r="G181" t="s">
        <v>20</v>
      </c>
      <c r="H181">
        <v>3537</v>
      </c>
      <c r="I181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">
        <v>2038</v>
      </c>
      <c r="R181" t="s">
        <v>2039</v>
      </c>
      <c r="S181" s="7">
        <f t="shared" si="10"/>
        <v>41350.208333333336</v>
      </c>
      <c r="T181" s="8">
        <f t="shared" si="11"/>
        <v>41351.208333333336</v>
      </c>
    </row>
    <row r="182" spans="1:20" x14ac:dyDescent="0.3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8"/>
        <v>3.0845714285714285</v>
      </c>
      <c r="G182" t="s">
        <v>20</v>
      </c>
      <c r="H182">
        <v>2107</v>
      </c>
      <c r="I182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65</v>
      </c>
      <c r="Q182" t="s">
        <v>2036</v>
      </c>
      <c r="R182" t="s">
        <v>2045</v>
      </c>
      <c r="S182" s="7">
        <f t="shared" si="10"/>
        <v>40259.208333333336</v>
      </c>
      <c r="T182" s="8">
        <f t="shared" si="11"/>
        <v>40264.208333333336</v>
      </c>
    </row>
    <row r="183" spans="1:20" x14ac:dyDescent="0.3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8"/>
        <v>0.61802325581395345</v>
      </c>
      <c r="G183" t="s">
        <v>14</v>
      </c>
      <c r="H183">
        <v>136</v>
      </c>
      <c r="I183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">
        <v>2036</v>
      </c>
      <c r="R183" t="s">
        <v>2037</v>
      </c>
      <c r="S183" s="7">
        <f t="shared" si="10"/>
        <v>43012.208333333328</v>
      </c>
      <c r="T183" s="8">
        <f t="shared" si="11"/>
        <v>43030.208333333328</v>
      </c>
    </row>
    <row r="184" spans="1:20" ht="31" x14ac:dyDescent="0.3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8"/>
        <v>7.2232472324723247</v>
      </c>
      <c r="G184" t="s">
        <v>20</v>
      </c>
      <c r="H184">
        <v>3318</v>
      </c>
      <c r="I184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">
        <v>2038</v>
      </c>
      <c r="R184" t="s">
        <v>2039</v>
      </c>
      <c r="S184" s="7">
        <f t="shared" si="10"/>
        <v>43631.208333333328</v>
      </c>
      <c r="T184" s="8">
        <f t="shared" si="11"/>
        <v>43647.208333333328</v>
      </c>
    </row>
    <row r="185" spans="1:20" ht="31" x14ac:dyDescent="0.3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8"/>
        <v>0.69117647058823528</v>
      </c>
      <c r="G185" t="s">
        <v>14</v>
      </c>
      <c r="H185">
        <v>86</v>
      </c>
      <c r="I185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">
        <v>2034</v>
      </c>
      <c r="R185" t="s">
        <v>2035</v>
      </c>
      <c r="S185" s="7">
        <f t="shared" si="10"/>
        <v>40430.208333333336</v>
      </c>
      <c r="T185" s="8">
        <f t="shared" si="11"/>
        <v>40443.208333333336</v>
      </c>
    </row>
    <row r="186" spans="1:20" x14ac:dyDescent="0.3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8"/>
        <v>2.9305555555555554</v>
      </c>
      <c r="G186" t="s">
        <v>20</v>
      </c>
      <c r="H186">
        <v>340</v>
      </c>
      <c r="I186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">
        <v>2038</v>
      </c>
      <c r="R186" t="s">
        <v>2039</v>
      </c>
      <c r="S186" s="7">
        <f t="shared" si="10"/>
        <v>43588.208333333328</v>
      </c>
      <c r="T186" s="8">
        <f t="shared" si="11"/>
        <v>43589.208333333328</v>
      </c>
    </row>
    <row r="187" spans="1:20" x14ac:dyDescent="0.3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8"/>
        <v>0.71799999999999997</v>
      </c>
      <c r="G187" t="s">
        <v>14</v>
      </c>
      <c r="H187">
        <v>19</v>
      </c>
      <c r="I187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269</v>
      </c>
      <c r="Q187" t="s">
        <v>2040</v>
      </c>
      <c r="R187" t="s">
        <v>2059</v>
      </c>
      <c r="S187" s="7">
        <f t="shared" si="10"/>
        <v>43233.208333333328</v>
      </c>
      <c r="T187" s="8">
        <f t="shared" si="11"/>
        <v>43244.208333333328</v>
      </c>
    </row>
    <row r="188" spans="1:20" x14ac:dyDescent="0.3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8"/>
        <v>0.31934684684684683</v>
      </c>
      <c r="G188" t="s">
        <v>14</v>
      </c>
      <c r="H188">
        <v>886</v>
      </c>
      <c r="I188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">
        <v>2038</v>
      </c>
      <c r="R188" t="s">
        <v>2039</v>
      </c>
      <c r="S188" s="7">
        <f t="shared" si="10"/>
        <v>41782.208333333336</v>
      </c>
      <c r="T188" s="8">
        <f t="shared" si="11"/>
        <v>41797.208333333336</v>
      </c>
    </row>
    <row r="189" spans="1:20" x14ac:dyDescent="0.3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8"/>
        <v>2.2987375415282392</v>
      </c>
      <c r="G189" t="s">
        <v>20</v>
      </c>
      <c r="H189">
        <v>1442</v>
      </c>
      <c r="I189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100</v>
      </c>
      <c r="Q189" t="s">
        <v>2040</v>
      </c>
      <c r="R189" t="s">
        <v>2051</v>
      </c>
      <c r="S189" s="7">
        <f t="shared" si="10"/>
        <v>41328.25</v>
      </c>
      <c r="T189" s="8">
        <f t="shared" si="11"/>
        <v>41356.208333333336</v>
      </c>
    </row>
    <row r="190" spans="1:20" x14ac:dyDescent="0.3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8"/>
        <v>0.3201219512195122</v>
      </c>
      <c r="G190" t="s">
        <v>14</v>
      </c>
      <c r="H190">
        <v>35</v>
      </c>
      <c r="I190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">
        <v>2038</v>
      </c>
      <c r="R190" t="s">
        <v>2039</v>
      </c>
      <c r="S190" s="7">
        <f t="shared" si="10"/>
        <v>41975.25</v>
      </c>
      <c r="T190" s="8">
        <f t="shared" si="11"/>
        <v>41976.25</v>
      </c>
    </row>
    <row r="191" spans="1:20" x14ac:dyDescent="0.3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8"/>
        <v>0.23525352848928385</v>
      </c>
      <c r="G191" t="s">
        <v>74</v>
      </c>
      <c r="H191">
        <v>441</v>
      </c>
      <c r="I191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">
        <v>2038</v>
      </c>
      <c r="R191" t="s">
        <v>2039</v>
      </c>
      <c r="S191" s="7">
        <f t="shared" si="10"/>
        <v>42433.25</v>
      </c>
      <c r="T191" s="8">
        <f t="shared" si="11"/>
        <v>42433.25</v>
      </c>
    </row>
    <row r="192" spans="1:20" x14ac:dyDescent="0.3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8"/>
        <v>0.68594594594594593</v>
      </c>
      <c r="G192" t="s">
        <v>14</v>
      </c>
      <c r="H192">
        <v>24</v>
      </c>
      <c r="I192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">
        <v>2038</v>
      </c>
      <c r="R192" t="s">
        <v>2039</v>
      </c>
      <c r="S192" s="7">
        <f t="shared" si="10"/>
        <v>41429.208333333336</v>
      </c>
      <c r="T192" s="8">
        <f t="shared" si="11"/>
        <v>41430.208333333336</v>
      </c>
    </row>
    <row r="193" spans="1:20" x14ac:dyDescent="0.3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8"/>
        <v>0.37952380952380954</v>
      </c>
      <c r="G193" t="s">
        <v>14</v>
      </c>
      <c r="H193">
        <v>86</v>
      </c>
      <c r="I193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">
        <v>2038</v>
      </c>
      <c r="R193" t="s">
        <v>2039</v>
      </c>
      <c r="S193" s="7">
        <f t="shared" si="10"/>
        <v>43536.208333333328</v>
      </c>
      <c r="T193" s="8">
        <f t="shared" si="11"/>
        <v>43539.208333333328</v>
      </c>
    </row>
    <row r="194" spans="1:20" x14ac:dyDescent="0.3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8"/>
        <v>0.19992957746478873</v>
      </c>
      <c r="G194" t="s">
        <v>14</v>
      </c>
      <c r="H194">
        <v>243</v>
      </c>
      <c r="I194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">
        <v>2034</v>
      </c>
      <c r="R194" t="s">
        <v>2035</v>
      </c>
      <c r="S194" s="7">
        <f t="shared" si="10"/>
        <v>41817.208333333336</v>
      </c>
      <c r="T194" s="8">
        <f t="shared" si="11"/>
        <v>41821.208333333336</v>
      </c>
    </row>
    <row r="195" spans="1:20" x14ac:dyDescent="0.3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ref="F195:F258" si="12">E195/D195</f>
        <v>0.45636363636363636</v>
      </c>
      <c r="G195" t="s">
        <v>14</v>
      </c>
      <c r="H195">
        <v>65</v>
      </c>
      <c r="I195">
        <f t="shared" ref="I195:I258" si="13">IFERROR(E195/H195, "0")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60</v>
      </c>
      <c r="Q195" t="s">
        <v>2034</v>
      </c>
      <c r="R195" t="s">
        <v>2044</v>
      </c>
      <c r="S195" s="7">
        <f t="shared" ref="S195:S258" si="14">(((L195/60)/60)/24)+DATE(1970,1,1)</f>
        <v>43198.208333333328</v>
      </c>
      <c r="T195" s="8">
        <f t="shared" ref="T195:T258" si="15">(((M195/60)/60)/24)+DATE(1970,1,1)</f>
        <v>43202.208333333328</v>
      </c>
    </row>
    <row r="196" spans="1:20" x14ac:dyDescent="0.3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si="12"/>
        <v>1.227605633802817</v>
      </c>
      <c r="G196" t="s">
        <v>20</v>
      </c>
      <c r="H196">
        <v>126</v>
      </c>
      <c r="I196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148</v>
      </c>
      <c r="Q196" t="s">
        <v>2034</v>
      </c>
      <c r="R196" t="s">
        <v>2056</v>
      </c>
      <c r="S196" s="7">
        <f t="shared" si="14"/>
        <v>42261.208333333328</v>
      </c>
      <c r="T196" s="8">
        <f t="shared" si="15"/>
        <v>42277.208333333328</v>
      </c>
    </row>
    <row r="197" spans="1:20" x14ac:dyDescent="0.3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2"/>
        <v>3.61753164556962</v>
      </c>
      <c r="G197" t="s">
        <v>20</v>
      </c>
      <c r="H197">
        <v>524</v>
      </c>
      <c r="I197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">
        <v>2034</v>
      </c>
      <c r="R197" t="s">
        <v>2042</v>
      </c>
      <c r="S197" s="7">
        <f t="shared" si="14"/>
        <v>43310.208333333328</v>
      </c>
      <c r="T197" s="8">
        <f t="shared" si="15"/>
        <v>43317.208333333328</v>
      </c>
    </row>
    <row r="198" spans="1:20" x14ac:dyDescent="0.3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2"/>
        <v>0.63146341463414635</v>
      </c>
      <c r="G198" t="s">
        <v>14</v>
      </c>
      <c r="H198">
        <v>100</v>
      </c>
      <c r="I198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65</v>
      </c>
      <c r="Q198" t="s">
        <v>2036</v>
      </c>
      <c r="R198" t="s">
        <v>2045</v>
      </c>
      <c r="S198" s="7">
        <f t="shared" si="14"/>
        <v>42616.208333333328</v>
      </c>
      <c r="T198" s="8">
        <f t="shared" si="15"/>
        <v>42635.208333333328</v>
      </c>
    </row>
    <row r="199" spans="1:20" x14ac:dyDescent="0.3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2"/>
        <v>2.9820475319926874</v>
      </c>
      <c r="G199" t="s">
        <v>20</v>
      </c>
      <c r="H199">
        <v>1989</v>
      </c>
      <c r="I199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">
        <v>2040</v>
      </c>
      <c r="R199" t="s">
        <v>2043</v>
      </c>
      <c r="S199" s="7">
        <f t="shared" si="14"/>
        <v>42909.208333333328</v>
      </c>
      <c r="T199" s="8">
        <f t="shared" si="15"/>
        <v>42923.208333333328</v>
      </c>
    </row>
    <row r="200" spans="1:20" x14ac:dyDescent="0.3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2"/>
        <v>9.5585443037974685E-2</v>
      </c>
      <c r="G200" t="s">
        <v>14</v>
      </c>
      <c r="H200">
        <v>168</v>
      </c>
      <c r="I200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">
        <v>2034</v>
      </c>
      <c r="R200" t="s">
        <v>2042</v>
      </c>
      <c r="S200" s="7">
        <f t="shared" si="14"/>
        <v>40396.208333333336</v>
      </c>
      <c r="T200" s="8">
        <f t="shared" si="15"/>
        <v>40425.208333333336</v>
      </c>
    </row>
    <row r="201" spans="1:20" x14ac:dyDescent="0.3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2"/>
        <v>0.5377777777777778</v>
      </c>
      <c r="G201" t="s">
        <v>14</v>
      </c>
      <c r="H201">
        <v>13</v>
      </c>
      <c r="I201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">
        <v>2034</v>
      </c>
      <c r="R201" t="s">
        <v>2035</v>
      </c>
      <c r="S201" s="7">
        <f t="shared" si="14"/>
        <v>42192.208333333328</v>
      </c>
      <c r="T201" s="8">
        <f t="shared" si="15"/>
        <v>42196.208333333328</v>
      </c>
    </row>
    <row r="202" spans="1:20" x14ac:dyDescent="0.3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2"/>
        <v>0.02</v>
      </c>
      <c r="G202" t="s">
        <v>14</v>
      </c>
      <c r="H202">
        <v>1</v>
      </c>
      <c r="I202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">
        <v>2038</v>
      </c>
      <c r="R202" t="s">
        <v>2039</v>
      </c>
      <c r="S202" s="7">
        <f t="shared" si="14"/>
        <v>40262.208333333336</v>
      </c>
      <c r="T202" s="8">
        <f t="shared" si="15"/>
        <v>40273.208333333336</v>
      </c>
    </row>
    <row r="203" spans="1:20" x14ac:dyDescent="0.3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2"/>
        <v>6.8119047619047617</v>
      </c>
      <c r="G203" t="s">
        <v>20</v>
      </c>
      <c r="H203">
        <v>157</v>
      </c>
      <c r="I203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">
        <v>2036</v>
      </c>
      <c r="R203" t="s">
        <v>2037</v>
      </c>
      <c r="S203" s="7">
        <f t="shared" si="14"/>
        <v>41845.208333333336</v>
      </c>
      <c r="T203" s="8">
        <f t="shared" si="15"/>
        <v>41863.208333333336</v>
      </c>
    </row>
    <row r="204" spans="1:20" x14ac:dyDescent="0.3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2"/>
        <v>0.78831325301204824</v>
      </c>
      <c r="G204" t="s">
        <v>74</v>
      </c>
      <c r="H204">
        <v>82</v>
      </c>
      <c r="I204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">
        <v>2032</v>
      </c>
      <c r="R204" t="s">
        <v>2033</v>
      </c>
      <c r="S204" s="7">
        <f t="shared" si="14"/>
        <v>40818.208333333336</v>
      </c>
      <c r="T204" s="8">
        <f t="shared" si="15"/>
        <v>40822.208333333336</v>
      </c>
    </row>
    <row r="205" spans="1:20" ht="31" x14ac:dyDescent="0.3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2"/>
        <v>1.3440792216817234</v>
      </c>
      <c r="G205" t="s">
        <v>20</v>
      </c>
      <c r="H205">
        <v>4498</v>
      </c>
      <c r="I205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">
        <v>2038</v>
      </c>
      <c r="R205" t="s">
        <v>2039</v>
      </c>
      <c r="S205" s="7">
        <f t="shared" si="14"/>
        <v>42752.25</v>
      </c>
      <c r="T205" s="8">
        <f t="shared" si="15"/>
        <v>42754.25</v>
      </c>
    </row>
    <row r="206" spans="1:20" x14ac:dyDescent="0.3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2"/>
        <v>3.372E-2</v>
      </c>
      <c r="G206" t="s">
        <v>14</v>
      </c>
      <c r="H206">
        <v>40</v>
      </c>
      <c r="I206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159</v>
      </c>
      <c r="Q206" t="s">
        <v>2034</v>
      </c>
      <c r="R206" t="s">
        <v>2057</v>
      </c>
      <c r="S206" s="7">
        <f t="shared" si="14"/>
        <v>40636.208333333336</v>
      </c>
      <c r="T206" s="8">
        <f t="shared" si="15"/>
        <v>40646.208333333336</v>
      </c>
    </row>
    <row r="207" spans="1:20" x14ac:dyDescent="0.3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2"/>
        <v>4.3184615384615386</v>
      </c>
      <c r="G207" t="s">
        <v>20</v>
      </c>
      <c r="H207">
        <v>80</v>
      </c>
      <c r="I207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">
        <v>2038</v>
      </c>
      <c r="R207" t="s">
        <v>2039</v>
      </c>
      <c r="S207" s="7">
        <f t="shared" si="14"/>
        <v>43390.208333333328</v>
      </c>
      <c r="T207" s="8">
        <f t="shared" si="15"/>
        <v>43402.208333333328</v>
      </c>
    </row>
    <row r="208" spans="1:20" x14ac:dyDescent="0.3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2"/>
        <v>0.38844444444444443</v>
      </c>
      <c r="G208" t="s">
        <v>74</v>
      </c>
      <c r="H208">
        <v>57</v>
      </c>
      <c r="I208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119</v>
      </c>
      <c r="Q208" t="s">
        <v>2046</v>
      </c>
      <c r="R208" t="s">
        <v>2052</v>
      </c>
      <c r="S208" s="7">
        <f t="shared" si="14"/>
        <v>40236.25</v>
      </c>
      <c r="T208" s="8">
        <f t="shared" si="15"/>
        <v>40245.25</v>
      </c>
    </row>
    <row r="209" spans="1:20" ht="31" x14ac:dyDescent="0.3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2"/>
        <v>4.2569999999999997</v>
      </c>
      <c r="G209" t="s">
        <v>20</v>
      </c>
      <c r="H209">
        <v>43</v>
      </c>
      <c r="I209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">
        <v>2034</v>
      </c>
      <c r="R209" t="s">
        <v>2035</v>
      </c>
      <c r="S209" s="7">
        <f t="shared" si="14"/>
        <v>43340.208333333328</v>
      </c>
      <c r="T209" s="8">
        <f t="shared" si="15"/>
        <v>43360.208333333328</v>
      </c>
    </row>
    <row r="210" spans="1:20" x14ac:dyDescent="0.3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2"/>
        <v>1.0112239715591671</v>
      </c>
      <c r="G210" t="s">
        <v>20</v>
      </c>
      <c r="H210">
        <v>2053</v>
      </c>
      <c r="I210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">
        <v>2040</v>
      </c>
      <c r="R210" t="s">
        <v>2041</v>
      </c>
      <c r="S210" s="7">
        <f t="shared" si="14"/>
        <v>43048.25</v>
      </c>
      <c r="T210" s="8">
        <f t="shared" si="15"/>
        <v>43072.25</v>
      </c>
    </row>
    <row r="211" spans="1:20" x14ac:dyDescent="0.3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2"/>
        <v>0.21188688946015424</v>
      </c>
      <c r="G211" t="s">
        <v>47</v>
      </c>
      <c r="H211">
        <v>808</v>
      </c>
      <c r="I211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">
        <v>2040</v>
      </c>
      <c r="R211" t="s">
        <v>2041</v>
      </c>
      <c r="S211" s="7">
        <f t="shared" si="14"/>
        <v>42496.208333333328</v>
      </c>
      <c r="T211" s="8">
        <f t="shared" si="15"/>
        <v>42503.208333333328</v>
      </c>
    </row>
    <row r="212" spans="1:20" x14ac:dyDescent="0.3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2"/>
        <v>0.67425531914893622</v>
      </c>
      <c r="G212" t="s">
        <v>14</v>
      </c>
      <c r="H212">
        <v>226</v>
      </c>
      <c r="I212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474</v>
      </c>
      <c r="Q212" t="s">
        <v>2040</v>
      </c>
      <c r="R212" t="s">
        <v>2062</v>
      </c>
      <c r="S212" s="7">
        <f t="shared" si="14"/>
        <v>42797.25</v>
      </c>
      <c r="T212" s="8">
        <f t="shared" si="15"/>
        <v>42824.208333333328</v>
      </c>
    </row>
    <row r="213" spans="1:20" ht="31" x14ac:dyDescent="0.3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2"/>
        <v>0.9492337164750958</v>
      </c>
      <c r="G213" t="s">
        <v>14</v>
      </c>
      <c r="H213">
        <v>1625</v>
      </c>
      <c r="I213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">
        <v>2038</v>
      </c>
      <c r="R213" t="s">
        <v>2039</v>
      </c>
      <c r="S213" s="7">
        <f t="shared" si="14"/>
        <v>41513.208333333336</v>
      </c>
      <c r="T213" s="8">
        <f t="shared" si="15"/>
        <v>41537.208333333336</v>
      </c>
    </row>
    <row r="214" spans="1:20" ht="31" x14ac:dyDescent="0.3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2"/>
        <v>1.5185185185185186</v>
      </c>
      <c r="G214" t="s">
        <v>20</v>
      </c>
      <c r="H214">
        <v>168</v>
      </c>
      <c r="I214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">
        <v>2038</v>
      </c>
      <c r="R214" t="s">
        <v>2039</v>
      </c>
      <c r="S214" s="7">
        <f t="shared" si="14"/>
        <v>43814.25</v>
      </c>
      <c r="T214" s="8">
        <f t="shared" si="15"/>
        <v>43860.25</v>
      </c>
    </row>
    <row r="215" spans="1:20" ht="31" x14ac:dyDescent="0.3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2"/>
        <v>1.9516382252559727</v>
      </c>
      <c r="G215" t="s">
        <v>20</v>
      </c>
      <c r="H215">
        <v>4289</v>
      </c>
      <c r="I215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60</v>
      </c>
      <c r="Q215" t="s">
        <v>2034</v>
      </c>
      <c r="R215" t="s">
        <v>2044</v>
      </c>
      <c r="S215" s="7">
        <f t="shared" si="14"/>
        <v>40488.208333333336</v>
      </c>
      <c r="T215" s="8">
        <f t="shared" si="15"/>
        <v>40496.25</v>
      </c>
    </row>
    <row r="216" spans="1:20" x14ac:dyDescent="0.3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2"/>
        <v>10.231428571428571</v>
      </c>
      <c r="G216" t="s">
        <v>20</v>
      </c>
      <c r="H216">
        <v>165</v>
      </c>
      <c r="I216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">
        <v>2034</v>
      </c>
      <c r="R216" t="s">
        <v>2035</v>
      </c>
      <c r="S216" s="7">
        <f t="shared" si="14"/>
        <v>40409.208333333336</v>
      </c>
      <c r="T216" s="8">
        <f t="shared" si="15"/>
        <v>40415.208333333336</v>
      </c>
    </row>
    <row r="217" spans="1:20" x14ac:dyDescent="0.3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2"/>
        <v>3.8418367346938778E-2</v>
      </c>
      <c r="G217" t="s">
        <v>14</v>
      </c>
      <c r="H217">
        <v>143</v>
      </c>
      <c r="I217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">
        <v>2038</v>
      </c>
      <c r="R217" t="s">
        <v>2039</v>
      </c>
      <c r="S217" s="7">
        <f t="shared" si="14"/>
        <v>43509.25</v>
      </c>
      <c r="T217" s="8">
        <f t="shared" si="15"/>
        <v>43511.25</v>
      </c>
    </row>
    <row r="218" spans="1:20" x14ac:dyDescent="0.3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2"/>
        <v>1.5507066557107643</v>
      </c>
      <c r="G218" t="s">
        <v>20</v>
      </c>
      <c r="H218">
        <v>1815</v>
      </c>
      <c r="I218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">
        <v>2038</v>
      </c>
      <c r="R218" t="s">
        <v>2039</v>
      </c>
      <c r="S218" s="7">
        <f t="shared" si="14"/>
        <v>40869.25</v>
      </c>
      <c r="T218" s="8">
        <f t="shared" si="15"/>
        <v>40871.25</v>
      </c>
    </row>
    <row r="219" spans="1:20" x14ac:dyDescent="0.3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2"/>
        <v>0.44753477588871715</v>
      </c>
      <c r="G219" t="s">
        <v>14</v>
      </c>
      <c r="H219">
        <v>934</v>
      </c>
      <c r="I219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474</v>
      </c>
      <c r="Q219" t="s">
        <v>2040</v>
      </c>
      <c r="R219" t="s">
        <v>2062</v>
      </c>
      <c r="S219" s="7">
        <f t="shared" si="14"/>
        <v>43583.208333333328</v>
      </c>
      <c r="T219" s="8">
        <f t="shared" si="15"/>
        <v>43592.208333333328</v>
      </c>
    </row>
    <row r="220" spans="1:20" x14ac:dyDescent="0.3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2"/>
        <v>2.1594736842105262</v>
      </c>
      <c r="G220" t="s">
        <v>20</v>
      </c>
      <c r="H220">
        <v>397</v>
      </c>
      <c r="I220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100</v>
      </c>
      <c r="Q220" t="s">
        <v>2040</v>
      </c>
      <c r="R220" t="s">
        <v>2051</v>
      </c>
      <c r="S220" s="7">
        <f t="shared" si="14"/>
        <v>40858.25</v>
      </c>
      <c r="T220" s="8">
        <f t="shared" si="15"/>
        <v>40892.25</v>
      </c>
    </row>
    <row r="221" spans="1:20" x14ac:dyDescent="0.3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2"/>
        <v>3.3212709832134291</v>
      </c>
      <c r="G221" t="s">
        <v>20</v>
      </c>
      <c r="H221">
        <v>1539</v>
      </c>
      <c r="I221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71</v>
      </c>
      <c r="Q221" t="s">
        <v>2040</v>
      </c>
      <c r="R221" t="s">
        <v>2048</v>
      </c>
      <c r="S221" s="7">
        <f t="shared" si="14"/>
        <v>41137.208333333336</v>
      </c>
      <c r="T221" s="8">
        <f t="shared" si="15"/>
        <v>41149.208333333336</v>
      </c>
    </row>
    <row r="222" spans="1:20" x14ac:dyDescent="0.3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2"/>
        <v>8.4430379746835441E-2</v>
      </c>
      <c r="G222" t="s">
        <v>14</v>
      </c>
      <c r="H222">
        <v>17</v>
      </c>
      <c r="I222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">
        <v>2038</v>
      </c>
      <c r="R222" t="s">
        <v>2039</v>
      </c>
      <c r="S222" s="7">
        <f t="shared" si="14"/>
        <v>40725.208333333336</v>
      </c>
      <c r="T222" s="8">
        <f t="shared" si="15"/>
        <v>40743.208333333336</v>
      </c>
    </row>
    <row r="223" spans="1:20" ht="31" x14ac:dyDescent="0.3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2"/>
        <v>0.9862551440329218</v>
      </c>
      <c r="G223" t="s">
        <v>14</v>
      </c>
      <c r="H223">
        <v>2179</v>
      </c>
      <c r="I223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">
        <v>2032</v>
      </c>
      <c r="R223" t="s">
        <v>2033</v>
      </c>
      <c r="S223" s="7">
        <f t="shared" si="14"/>
        <v>41081.208333333336</v>
      </c>
      <c r="T223" s="8">
        <f t="shared" si="15"/>
        <v>41083.208333333336</v>
      </c>
    </row>
    <row r="224" spans="1:20" x14ac:dyDescent="0.3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2"/>
        <v>1.3797916666666667</v>
      </c>
      <c r="G224" t="s">
        <v>20</v>
      </c>
      <c r="H224">
        <v>138</v>
      </c>
      <c r="I224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122</v>
      </c>
      <c r="Q224" t="s">
        <v>2053</v>
      </c>
      <c r="R224" t="s">
        <v>2054</v>
      </c>
      <c r="S224" s="7">
        <f t="shared" si="14"/>
        <v>41914.208333333336</v>
      </c>
      <c r="T224" s="8">
        <f t="shared" si="15"/>
        <v>41915.208333333336</v>
      </c>
    </row>
    <row r="225" spans="1:20" x14ac:dyDescent="0.3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2"/>
        <v>0.93810996563573879</v>
      </c>
      <c r="G225" t="s">
        <v>14</v>
      </c>
      <c r="H225">
        <v>931</v>
      </c>
      <c r="I225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">
        <v>2038</v>
      </c>
      <c r="R225" t="s">
        <v>2039</v>
      </c>
      <c r="S225" s="7">
        <f t="shared" si="14"/>
        <v>42445.208333333328</v>
      </c>
      <c r="T225" s="8">
        <f t="shared" si="15"/>
        <v>42459.208333333328</v>
      </c>
    </row>
    <row r="226" spans="1:20" x14ac:dyDescent="0.3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2"/>
        <v>4.0363930885529156</v>
      </c>
      <c r="G226" t="s">
        <v>20</v>
      </c>
      <c r="H226">
        <v>3594</v>
      </c>
      <c r="I226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474</v>
      </c>
      <c r="Q226" t="s">
        <v>2040</v>
      </c>
      <c r="R226" t="s">
        <v>2062</v>
      </c>
      <c r="S226" s="7">
        <f t="shared" si="14"/>
        <v>41906.208333333336</v>
      </c>
      <c r="T226" s="8">
        <f t="shared" si="15"/>
        <v>41951.25</v>
      </c>
    </row>
    <row r="227" spans="1:20" x14ac:dyDescent="0.3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2"/>
        <v>2.6017404129793511</v>
      </c>
      <c r="G227" t="s">
        <v>20</v>
      </c>
      <c r="H227">
        <v>5880</v>
      </c>
      <c r="I227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">
        <v>2034</v>
      </c>
      <c r="R227" t="s">
        <v>2035</v>
      </c>
      <c r="S227" s="7">
        <f t="shared" si="14"/>
        <v>41762.208333333336</v>
      </c>
      <c r="T227" s="8">
        <f t="shared" si="15"/>
        <v>41762.208333333336</v>
      </c>
    </row>
    <row r="228" spans="1:20" x14ac:dyDescent="0.3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2"/>
        <v>3.6663333333333332</v>
      </c>
      <c r="G228" t="s">
        <v>20</v>
      </c>
      <c r="H228">
        <v>112</v>
      </c>
      <c r="I228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122</v>
      </c>
      <c r="Q228" t="s">
        <v>2053</v>
      </c>
      <c r="R228" t="s">
        <v>2054</v>
      </c>
      <c r="S228" s="7">
        <f t="shared" si="14"/>
        <v>40276.208333333336</v>
      </c>
      <c r="T228" s="8">
        <f t="shared" si="15"/>
        <v>40313.208333333336</v>
      </c>
    </row>
    <row r="229" spans="1:20" x14ac:dyDescent="0.3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2"/>
        <v>1.687208538587849</v>
      </c>
      <c r="G229" t="s">
        <v>20</v>
      </c>
      <c r="H229">
        <v>943</v>
      </c>
      <c r="I229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292</v>
      </c>
      <c r="Q229" t="s">
        <v>2049</v>
      </c>
      <c r="R229" t="s">
        <v>2060</v>
      </c>
      <c r="S229" s="7">
        <f t="shared" si="14"/>
        <v>42139.208333333328</v>
      </c>
      <c r="T229" s="8">
        <f t="shared" si="15"/>
        <v>42145.208333333328</v>
      </c>
    </row>
    <row r="230" spans="1:20" x14ac:dyDescent="0.3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2"/>
        <v>1.1990717911530093</v>
      </c>
      <c r="G230" t="s">
        <v>20</v>
      </c>
      <c r="H230">
        <v>2468</v>
      </c>
      <c r="I230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71</v>
      </c>
      <c r="Q230" t="s">
        <v>2040</v>
      </c>
      <c r="R230" t="s">
        <v>2048</v>
      </c>
      <c r="S230" s="7">
        <f t="shared" si="14"/>
        <v>42613.208333333328</v>
      </c>
      <c r="T230" s="8">
        <f t="shared" si="15"/>
        <v>42638.208333333328</v>
      </c>
    </row>
    <row r="231" spans="1:20" x14ac:dyDescent="0.3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2"/>
        <v>1.936892523364486</v>
      </c>
      <c r="G231" t="s">
        <v>20</v>
      </c>
      <c r="H231">
        <v>2551</v>
      </c>
      <c r="I231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292</v>
      </c>
      <c r="Q231" t="s">
        <v>2049</v>
      </c>
      <c r="R231" t="s">
        <v>2060</v>
      </c>
      <c r="S231" s="7">
        <f t="shared" si="14"/>
        <v>42887.208333333328</v>
      </c>
      <c r="T231" s="8">
        <f t="shared" si="15"/>
        <v>42935.208333333328</v>
      </c>
    </row>
    <row r="232" spans="1:20" x14ac:dyDescent="0.3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2"/>
        <v>4.2016666666666671</v>
      </c>
      <c r="G232" t="s">
        <v>20</v>
      </c>
      <c r="H232">
        <v>101</v>
      </c>
      <c r="I232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89</v>
      </c>
      <c r="Q232" t="s">
        <v>2049</v>
      </c>
      <c r="R232" t="s">
        <v>2050</v>
      </c>
      <c r="S232" s="7">
        <f t="shared" si="14"/>
        <v>43805.25</v>
      </c>
      <c r="T232" s="8">
        <f t="shared" si="15"/>
        <v>43805.25</v>
      </c>
    </row>
    <row r="233" spans="1:20" x14ac:dyDescent="0.3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2"/>
        <v>0.76708333333333334</v>
      </c>
      <c r="G233" t="s">
        <v>74</v>
      </c>
      <c r="H233">
        <v>67</v>
      </c>
      <c r="I233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">
        <v>2038</v>
      </c>
      <c r="R233" t="s">
        <v>2039</v>
      </c>
      <c r="S233" s="7">
        <f t="shared" si="14"/>
        <v>41415.208333333336</v>
      </c>
      <c r="T233" s="8">
        <f t="shared" si="15"/>
        <v>41473.208333333336</v>
      </c>
    </row>
    <row r="234" spans="1:20" x14ac:dyDescent="0.3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2"/>
        <v>1.7126470588235294</v>
      </c>
      <c r="G234" t="s">
        <v>20</v>
      </c>
      <c r="H234">
        <v>92</v>
      </c>
      <c r="I234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">
        <v>2038</v>
      </c>
      <c r="R234" t="s">
        <v>2039</v>
      </c>
      <c r="S234" s="7">
        <f t="shared" si="14"/>
        <v>42576.208333333328</v>
      </c>
      <c r="T234" s="8">
        <f t="shared" si="15"/>
        <v>42577.208333333328</v>
      </c>
    </row>
    <row r="235" spans="1:20" x14ac:dyDescent="0.3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2"/>
        <v>1.5789473684210527</v>
      </c>
      <c r="G235" t="s">
        <v>20</v>
      </c>
      <c r="H235">
        <v>62</v>
      </c>
      <c r="I235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71</v>
      </c>
      <c r="Q235" t="s">
        <v>2040</v>
      </c>
      <c r="R235" t="s">
        <v>2048</v>
      </c>
      <c r="S235" s="7">
        <f t="shared" si="14"/>
        <v>40706.208333333336</v>
      </c>
      <c r="T235" s="8">
        <f t="shared" si="15"/>
        <v>40722.208333333336</v>
      </c>
    </row>
    <row r="236" spans="1:20" x14ac:dyDescent="0.3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2"/>
        <v>1.0908</v>
      </c>
      <c r="G236" t="s">
        <v>20</v>
      </c>
      <c r="H236">
        <v>149</v>
      </c>
      <c r="I236">
        <f t="shared" si="1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t="b">
        <v>0</v>
      </c>
      <c r="O236" t="b">
        <v>1</v>
      </c>
      <c r="P236" t="s">
        <v>89</v>
      </c>
      <c r="Q236" t="s">
        <v>2049</v>
      </c>
      <c r="R236" t="s">
        <v>2050</v>
      </c>
      <c r="S236" s="7">
        <f t="shared" si="14"/>
        <v>42969.208333333328</v>
      </c>
      <c r="T236" s="8">
        <f t="shared" si="15"/>
        <v>42976.208333333328</v>
      </c>
    </row>
    <row r="237" spans="1:20" ht="31" x14ac:dyDescent="0.3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2"/>
        <v>0.41732558139534881</v>
      </c>
      <c r="G237" t="s">
        <v>14</v>
      </c>
      <c r="H237">
        <v>92</v>
      </c>
      <c r="I237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71</v>
      </c>
      <c r="Q237" t="s">
        <v>2040</v>
      </c>
      <c r="R237" t="s">
        <v>2048</v>
      </c>
      <c r="S237" s="7">
        <f t="shared" si="14"/>
        <v>42779.25</v>
      </c>
      <c r="T237" s="8">
        <f t="shared" si="15"/>
        <v>42784.25</v>
      </c>
    </row>
    <row r="238" spans="1:20" x14ac:dyDescent="0.3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2"/>
        <v>0.10944303797468355</v>
      </c>
      <c r="G238" t="s">
        <v>14</v>
      </c>
      <c r="H238">
        <v>57</v>
      </c>
      <c r="I238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">
        <v>2034</v>
      </c>
      <c r="R238" t="s">
        <v>2035</v>
      </c>
      <c r="S238" s="7">
        <f t="shared" si="14"/>
        <v>43641.208333333328</v>
      </c>
      <c r="T238" s="8">
        <f t="shared" si="15"/>
        <v>43648.208333333328</v>
      </c>
    </row>
    <row r="239" spans="1:20" ht="31" x14ac:dyDescent="0.3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2"/>
        <v>1.593763440860215</v>
      </c>
      <c r="G239" t="s">
        <v>20</v>
      </c>
      <c r="H239">
        <v>329</v>
      </c>
      <c r="I239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71</v>
      </c>
      <c r="Q239" t="s">
        <v>2040</v>
      </c>
      <c r="R239" t="s">
        <v>2048</v>
      </c>
      <c r="S239" s="7">
        <f t="shared" si="14"/>
        <v>41754.208333333336</v>
      </c>
      <c r="T239" s="8">
        <f t="shared" si="15"/>
        <v>41756.208333333336</v>
      </c>
    </row>
    <row r="240" spans="1:20" x14ac:dyDescent="0.3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2"/>
        <v>4.2241666666666671</v>
      </c>
      <c r="G240" t="s">
        <v>20</v>
      </c>
      <c r="H240">
        <v>97</v>
      </c>
      <c r="I240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">
        <v>2038</v>
      </c>
      <c r="R240" t="s">
        <v>2039</v>
      </c>
      <c r="S240" s="7">
        <f t="shared" si="14"/>
        <v>43083.25</v>
      </c>
      <c r="T240" s="8">
        <f t="shared" si="15"/>
        <v>43108.25</v>
      </c>
    </row>
    <row r="241" spans="1:20" ht="31" x14ac:dyDescent="0.3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2"/>
        <v>0.97718749999999999</v>
      </c>
      <c r="G241" t="s">
        <v>14</v>
      </c>
      <c r="H241">
        <v>41</v>
      </c>
      <c r="I241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65</v>
      </c>
      <c r="Q241" t="s">
        <v>2036</v>
      </c>
      <c r="R241" t="s">
        <v>2045</v>
      </c>
      <c r="S241" s="7">
        <f t="shared" si="14"/>
        <v>42245.208333333328</v>
      </c>
      <c r="T241" s="8">
        <f t="shared" si="15"/>
        <v>42249.208333333328</v>
      </c>
    </row>
    <row r="242" spans="1:20" x14ac:dyDescent="0.3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2"/>
        <v>4.1878911564625847</v>
      </c>
      <c r="G242" t="s">
        <v>20</v>
      </c>
      <c r="H242">
        <v>1784</v>
      </c>
      <c r="I242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">
        <v>2038</v>
      </c>
      <c r="R242" t="s">
        <v>2039</v>
      </c>
      <c r="S242" s="7">
        <f t="shared" si="14"/>
        <v>40396.208333333336</v>
      </c>
      <c r="T242" s="8">
        <f t="shared" si="15"/>
        <v>40397.208333333336</v>
      </c>
    </row>
    <row r="243" spans="1:20" x14ac:dyDescent="0.3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2"/>
        <v>1.0191632047477746</v>
      </c>
      <c r="G243" t="s">
        <v>20</v>
      </c>
      <c r="H243">
        <v>1684</v>
      </c>
      <c r="I243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68</v>
      </c>
      <c r="Q243" t="s">
        <v>2046</v>
      </c>
      <c r="R243" t="s">
        <v>2047</v>
      </c>
      <c r="S243" s="7">
        <f t="shared" si="14"/>
        <v>41742.208333333336</v>
      </c>
      <c r="T243" s="8">
        <f t="shared" si="15"/>
        <v>41752.208333333336</v>
      </c>
    </row>
    <row r="244" spans="1:20" x14ac:dyDescent="0.3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2"/>
        <v>1.2772619047619047</v>
      </c>
      <c r="G244" t="s">
        <v>20</v>
      </c>
      <c r="H244">
        <v>250</v>
      </c>
      <c r="I244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">
        <v>2034</v>
      </c>
      <c r="R244" t="s">
        <v>2035</v>
      </c>
      <c r="S244" s="7">
        <f t="shared" si="14"/>
        <v>42865.208333333328</v>
      </c>
      <c r="T244" s="8">
        <f t="shared" si="15"/>
        <v>42875.208333333328</v>
      </c>
    </row>
    <row r="245" spans="1:20" ht="31" x14ac:dyDescent="0.3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2"/>
        <v>4.4521739130434783</v>
      </c>
      <c r="G245" t="s">
        <v>20</v>
      </c>
      <c r="H245">
        <v>238</v>
      </c>
      <c r="I245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">
        <v>2038</v>
      </c>
      <c r="R245" t="s">
        <v>2039</v>
      </c>
      <c r="S245" s="7">
        <f t="shared" si="14"/>
        <v>43163.25</v>
      </c>
      <c r="T245" s="8">
        <f t="shared" si="15"/>
        <v>43166.25</v>
      </c>
    </row>
    <row r="246" spans="1:20" ht="31" x14ac:dyDescent="0.3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2"/>
        <v>5.6971428571428575</v>
      </c>
      <c r="G246" t="s">
        <v>20</v>
      </c>
      <c r="H246">
        <v>53</v>
      </c>
      <c r="I246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">
        <v>2038</v>
      </c>
      <c r="R246" t="s">
        <v>2039</v>
      </c>
      <c r="S246" s="7">
        <f t="shared" si="14"/>
        <v>41834.208333333336</v>
      </c>
      <c r="T246" s="8">
        <f t="shared" si="15"/>
        <v>41886.208333333336</v>
      </c>
    </row>
    <row r="247" spans="1:20" x14ac:dyDescent="0.3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2"/>
        <v>5.0934482758620687</v>
      </c>
      <c r="G247" t="s">
        <v>20</v>
      </c>
      <c r="H247">
        <v>214</v>
      </c>
      <c r="I247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">
        <v>2038</v>
      </c>
      <c r="R247" t="s">
        <v>2039</v>
      </c>
      <c r="S247" s="7">
        <f t="shared" si="14"/>
        <v>41736.208333333336</v>
      </c>
      <c r="T247" s="8">
        <f t="shared" si="15"/>
        <v>41737.208333333336</v>
      </c>
    </row>
    <row r="248" spans="1:20" x14ac:dyDescent="0.3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2"/>
        <v>3.2553333333333332</v>
      </c>
      <c r="G248" t="s">
        <v>20</v>
      </c>
      <c r="H248">
        <v>222</v>
      </c>
      <c r="I248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">
        <v>2036</v>
      </c>
      <c r="R248" t="s">
        <v>2037</v>
      </c>
      <c r="S248" s="7">
        <f t="shared" si="14"/>
        <v>41491.208333333336</v>
      </c>
      <c r="T248" s="8">
        <f t="shared" si="15"/>
        <v>41495.208333333336</v>
      </c>
    </row>
    <row r="249" spans="1:20" x14ac:dyDescent="0.3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2"/>
        <v>9.3261616161616168</v>
      </c>
      <c r="G249" t="s">
        <v>20</v>
      </c>
      <c r="H249">
        <v>1884</v>
      </c>
      <c r="I249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119</v>
      </c>
      <c r="Q249" t="s">
        <v>2046</v>
      </c>
      <c r="R249" t="s">
        <v>2052</v>
      </c>
      <c r="S249" s="7">
        <f t="shared" si="14"/>
        <v>42726.25</v>
      </c>
      <c r="T249" s="8">
        <f t="shared" si="15"/>
        <v>42741.25</v>
      </c>
    </row>
    <row r="250" spans="1:20" x14ac:dyDescent="0.3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2"/>
        <v>2.1133870967741935</v>
      </c>
      <c r="G250" t="s">
        <v>20</v>
      </c>
      <c r="H250">
        <v>218</v>
      </c>
      <c r="I250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292</v>
      </c>
      <c r="Q250" t="s">
        <v>2049</v>
      </c>
      <c r="R250" t="s">
        <v>2060</v>
      </c>
      <c r="S250" s="7">
        <f t="shared" si="14"/>
        <v>42004.25</v>
      </c>
      <c r="T250" s="8">
        <f t="shared" si="15"/>
        <v>42009.25</v>
      </c>
    </row>
    <row r="251" spans="1:20" x14ac:dyDescent="0.3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2"/>
        <v>2.7332520325203253</v>
      </c>
      <c r="G251" t="s">
        <v>20</v>
      </c>
      <c r="H251">
        <v>6465</v>
      </c>
      <c r="I251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206</v>
      </c>
      <c r="Q251" t="s">
        <v>2046</v>
      </c>
      <c r="R251" t="s">
        <v>2058</v>
      </c>
      <c r="S251" s="7">
        <f t="shared" si="14"/>
        <v>42006.25</v>
      </c>
      <c r="T251" s="8">
        <f t="shared" si="15"/>
        <v>42013.25</v>
      </c>
    </row>
    <row r="252" spans="1:20" x14ac:dyDescent="0.3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2"/>
        <v>0.03</v>
      </c>
      <c r="G252" t="s">
        <v>14</v>
      </c>
      <c r="H252">
        <v>1</v>
      </c>
      <c r="I252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">
        <v>2034</v>
      </c>
      <c r="R252" t="s">
        <v>2035</v>
      </c>
      <c r="S252" s="7">
        <f t="shared" si="14"/>
        <v>40203.25</v>
      </c>
      <c r="T252" s="8">
        <f t="shared" si="15"/>
        <v>40238.25</v>
      </c>
    </row>
    <row r="253" spans="1:20" x14ac:dyDescent="0.3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2"/>
        <v>0.54084507042253516</v>
      </c>
      <c r="G253" t="s">
        <v>14</v>
      </c>
      <c r="H253">
        <v>101</v>
      </c>
      <c r="I253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">
        <v>2038</v>
      </c>
      <c r="R253" t="s">
        <v>2039</v>
      </c>
      <c r="S253" s="7">
        <f t="shared" si="14"/>
        <v>41252.25</v>
      </c>
      <c r="T253" s="8">
        <f t="shared" si="15"/>
        <v>41254.25</v>
      </c>
    </row>
    <row r="254" spans="1:20" ht="31" x14ac:dyDescent="0.3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2"/>
        <v>6.2629999999999999</v>
      </c>
      <c r="G254" t="s">
        <v>20</v>
      </c>
      <c r="H254">
        <v>59</v>
      </c>
      <c r="I254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">
        <v>2038</v>
      </c>
      <c r="R254" t="s">
        <v>2039</v>
      </c>
      <c r="S254" s="7">
        <f t="shared" si="14"/>
        <v>41572.208333333336</v>
      </c>
      <c r="T254" s="8">
        <f t="shared" si="15"/>
        <v>41577.208333333336</v>
      </c>
    </row>
    <row r="255" spans="1:20" x14ac:dyDescent="0.3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2"/>
        <v>0.8902139917695473</v>
      </c>
      <c r="G255" t="s">
        <v>14</v>
      </c>
      <c r="H255">
        <v>1335</v>
      </c>
      <c r="I255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">
        <v>2040</v>
      </c>
      <c r="R255" t="s">
        <v>2043</v>
      </c>
      <c r="S255" s="7">
        <f t="shared" si="14"/>
        <v>40641.208333333336</v>
      </c>
      <c r="T255" s="8">
        <f t="shared" si="15"/>
        <v>40653.208333333336</v>
      </c>
    </row>
    <row r="256" spans="1:20" ht="31" x14ac:dyDescent="0.3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2"/>
        <v>1.8489130434782608</v>
      </c>
      <c r="G256" t="s">
        <v>20</v>
      </c>
      <c r="H256">
        <v>88</v>
      </c>
      <c r="I256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68</v>
      </c>
      <c r="Q256" t="s">
        <v>2046</v>
      </c>
      <c r="R256" t="s">
        <v>2047</v>
      </c>
      <c r="S256" s="7">
        <f t="shared" si="14"/>
        <v>42787.25</v>
      </c>
      <c r="T256" s="8">
        <f t="shared" si="15"/>
        <v>42789.25</v>
      </c>
    </row>
    <row r="257" spans="1:20" ht="31" x14ac:dyDescent="0.3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2"/>
        <v>1.2016770186335404</v>
      </c>
      <c r="G257" t="s">
        <v>20</v>
      </c>
      <c r="H257">
        <v>1697</v>
      </c>
      <c r="I257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">
        <v>2034</v>
      </c>
      <c r="R257" t="s">
        <v>2035</v>
      </c>
      <c r="S257" s="7">
        <f t="shared" si="14"/>
        <v>40590.25</v>
      </c>
      <c r="T257" s="8">
        <f t="shared" si="15"/>
        <v>40595.25</v>
      </c>
    </row>
    <row r="258" spans="1:20" x14ac:dyDescent="0.3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2"/>
        <v>0.23390243902439026</v>
      </c>
      <c r="G258" t="s">
        <v>14</v>
      </c>
      <c r="H258">
        <v>15</v>
      </c>
      <c r="I258">
        <f t="shared" si="1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">
        <v>2034</v>
      </c>
      <c r="R258" t="s">
        <v>2035</v>
      </c>
      <c r="S258" s="7">
        <f t="shared" si="14"/>
        <v>42393.25</v>
      </c>
      <c r="T258" s="8">
        <f t="shared" si="15"/>
        <v>42430.25</v>
      </c>
    </row>
    <row r="259" spans="1:20" x14ac:dyDescent="0.3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ref="F259:F322" si="16">E259/D259</f>
        <v>1.46</v>
      </c>
      <c r="G259" t="s">
        <v>20</v>
      </c>
      <c r="H259">
        <v>92</v>
      </c>
      <c r="I259">
        <f t="shared" ref="I259:I322" si="17">IFERROR(E259/H259, "0")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">
        <v>2038</v>
      </c>
      <c r="R259" t="s">
        <v>2039</v>
      </c>
      <c r="S259" s="7">
        <f t="shared" ref="S259:S322" si="18">(((L259/60)/60)/24)+DATE(1970,1,1)</f>
        <v>41338.25</v>
      </c>
      <c r="T259" s="8">
        <f t="shared" ref="T259:T322" si="19">(((M259/60)/60)/24)+DATE(1970,1,1)</f>
        <v>41352.208333333336</v>
      </c>
    </row>
    <row r="260" spans="1:20" x14ac:dyDescent="0.3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si="16"/>
        <v>2.6848000000000001</v>
      </c>
      <c r="G260" t="s">
        <v>20</v>
      </c>
      <c r="H260">
        <v>186</v>
      </c>
      <c r="I260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">
        <v>2038</v>
      </c>
      <c r="R260" t="s">
        <v>2039</v>
      </c>
      <c r="S260" s="7">
        <f t="shared" si="18"/>
        <v>42712.25</v>
      </c>
      <c r="T260" s="8">
        <f t="shared" si="19"/>
        <v>42732.25</v>
      </c>
    </row>
    <row r="261" spans="1:20" ht="31" x14ac:dyDescent="0.3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16"/>
        <v>5.9749999999999996</v>
      </c>
      <c r="G261" t="s">
        <v>20</v>
      </c>
      <c r="H261">
        <v>138</v>
      </c>
      <c r="I261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122</v>
      </c>
      <c r="Q261" t="s">
        <v>2053</v>
      </c>
      <c r="R261" t="s">
        <v>2054</v>
      </c>
      <c r="S261" s="7">
        <f t="shared" si="18"/>
        <v>41251.25</v>
      </c>
      <c r="T261" s="8">
        <f t="shared" si="19"/>
        <v>41270.25</v>
      </c>
    </row>
    <row r="262" spans="1:20" x14ac:dyDescent="0.3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16"/>
        <v>1.5769841269841269</v>
      </c>
      <c r="G262" t="s">
        <v>20</v>
      </c>
      <c r="H262">
        <v>261</v>
      </c>
      <c r="I262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">
        <v>2034</v>
      </c>
      <c r="R262" t="s">
        <v>2035</v>
      </c>
      <c r="S262" s="7">
        <f t="shared" si="18"/>
        <v>41180.208333333336</v>
      </c>
      <c r="T262" s="8">
        <f t="shared" si="19"/>
        <v>41192.208333333336</v>
      </c>
    </row>
    <row r="263" spans="1:20" ht="31" x14ac:dyDescent="0.3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16"/>
        <v>0.31201660735468567</v>
      </c>
      <c r="G263" t="s">
        <v>14</v>
      </c>
      <c r="H263">
        <v>454</v>
      </c>
      <c r="I263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">
        <v>2034</v>
      </c>
      <c r="R263" t="s">
        <v>2035</v>
      </c>
      <c r="S263" s="7">
        <f t="shared" si="18"/>
        <v>40415.208333333336</v>
      </c>
      <c r="T263" s="8">
        <f t="shared" si="19"/>
        <v>40419.208333333336</v>
      </c>
    </row>
    <row r="264" spans="1:20" x14ac:dyDescent="0.3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16"/>
        <v>3.1341176470588237</v>
      </c>
      <c r="G264" t="s">
        <v>20</v>
      </c>
      <c r="H264">
        <v>107</v>
      </c>
      <c r="I264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60</v>
      </c>
      <c r="Q264" t="s">
        <v>2034</v>
      </c>
      <c r="R264" t="s">
        <v>2044</v>
      </c>
      <c r="S264" s="7">
        <f t="shared" si="18"/>
        <v>40638.208333333336</v>
      </c>
      <c r="T264" s="8">
        <f t="shared" si="19"/>
        <v>40664.208333333336</v>
      </c>
    </row>
    <row r="265" spans="1:20" x14ac:dyDescent="0.3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16"/>
        <v>3.7089655172413791</v>
      </c>
      <c r="G265" t="s">
        <v>20</v>
      </c>
      <c r="H265">
        <v>199</v>
      </c>
      <c r="I265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122</v>
      </c>
      <c r="Q265" t="s">
        <v>2053</v>
      </c>
      <c r="R265" t="s">
        <v>2054</v>
      </c>
      <c r="S265" s="7">
        <f t="shared" si="18"/>
        <v>40187.25</v>
      </c>
      <c r="T265" s="8">
        <f t="shared" si="19"/>
        <v>40187.25</v>
      </c>
    </row>
    <row r="266" spans="1:20" x14ac:dyDescent="0.3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16"/>
        <v>3.6266447368421053</v>
      </c>
      <c r="G266" t="s">
        <v>20</v>
      </c>
      <c r="H266">
        <v>5512</v>
      </c>
      <c r="I266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">
        <v>2038</v>
      </c>
      <c r="R266" t="s">
        <v>2039</v>
      </c>
      <c r="S266" s="7">
        <f t="shared" si="18"/>
        <v>41317.25</v>
      </c>
      <c r="T266" s="8">
        <f t="shared" si="19"/>
        <v>41333.25</v>
      </c>
    </row>
    <row r="267" spans="1:20" x14ac:dyDescent="0.3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16"/>
        <v>1.2308163265306122</v>
      </c>
      <c r="G267" t="s">
        <v>20</v>
      </c>
      <c r="H267">
        <v>86</v>
      </c>
      <c r="I267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">
        <v>2038</v>
      </c>
      <c r="R267" t="s">
        <v>2039</v>
      </c>
      <c r="S267" s="7">
        <f t="shared" si="18"/>
        <v>42372.25</v>
      </c>
      <c r="T267" s="8">
        <f t="shared" si="19"/>
        <v>42416.25</v>
      </c>
    </row>
    <row r="268" spans="1:20" x14ac:dyDescent="0.3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16"/>
        <v>0.76766756032171579</v>
      </c>
      <c r="G268" t="s">
        <v>14</v>
      </c>
      <c r="H268">
        <v>3182</v>
      </c>
      <c r="I268">
        <f t="shared" si="17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t="b">
        <v>0</v>
      </c>
      <c r="O268" t="b">
        <v>1</v>
      </c>
      <c r="P268" t="s">
        <v>159</v>
      </c>
      <c r="Q268" t="s">
        <v>2034</v>
      </c>
      <c r="R268" t="s">
        <v>2057</v>
      </c>
      <c r="S268" s="7">
        <f t="shared" si="18"/>
        <v>41950.25</v>
      </c>
      <c r="T268" s="8">
        <f t="shared" si="19"/>
        <v>41983.25</v>
      </c>
    </row>
    <row r="269" spans="1:20" x14ac:dyDescent="0.3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16"/>
        <v>2.3362012987012988</v>
      </c>
      <c r="G269" t="s">
        <v>20</v>
      </c>
      <c r="H269">
        <v>2768</v>
      </c>
      <c r="I269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">
        <v>2038</v>
      </c>
      <c r="R269" t="s">
        <v>2039</v>
      </c>
      <c r="S269" s="7">
        <f t="shared" si="18"/>
        <v>41206.208333333336</v>
      </c>
      <c r="T269" s="8">
        <f t="shared" si="19"/>
        <v>41222.25</v>
      </c>
    </row>
    <row r="270" spans="1:20" x14ac:dyDescent="0.3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16"/>
        <v>1.8053333333333332</v>
      </c>
      <c r="G270" t="s">
        <v>20</v>
      </c>
      <c r="H270">
        <v>48</v>
      </c>
      <c r="I270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">
        <v>2040</v>
      </c>
      <c r="R270" t="s">
        <v>2041</v>
      </c>
      <c r="S270" s="7">
        <f t="shared" si="18"/>
        <v>41186.208333333336</v>
      </c>
      <c r="T270" s="8">
        <f t="shared" si="19"/>
        <v>41232.25</v>
      </c>
    </row>
    <row r="271" spans="1:20" x14ac:dyDescent="0.3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16"/>
        <v>2.5262857142857142</v>
      </c>
      <c r="G271" t="s">
        <v>20</v>
      </c>
      <c r="H271">
        <v>87</v>
      </c>
      <c r="I271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269</v>
      </c>
      <c r="Q271" t="s">
        <v>2040</v>
      </c>
      <c r="R271" t="s">
        <v>2059</v>
      </c>
      <c r="S271" s="7">
        <f t="shared" si="18"/>
        <v>43496.25</v>
      </c>
      <c r="T271" s="8">
        <f t="shared" si="19"/>
        <v>43517.25</v>
      </c>
    </row>
    <row r="272" spans="1:20" x14ac:dyDescent="0.3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16"/>
        <v>0.27176538240368026</v>
      </c>
      <c r="G272" t="s">
        <v>74</v>
      </c>
      <c r="H272">
        <v>1890</v>
      </c>
      <c r="I272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89</v>
      </c>
      <c r="Q272" t="s">
        <v>2049</v>
      </c>
      <c r="R272" t="s">
        <v>2050</v>
      </c>
      <c r="S272" s="7">
        <f t="shared" si="18"/>
        <v>40514.25</v>
      </c>
      <c r="T272" s="8">
        <f t="shared" si="19"/>
        <v>40516.25</v>
      </c>
    </row>
    <row r="273" spans="1:20" ht="31" x14ac:dyDescent="0.3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16"/>
        <v>1.2706571242680547E-2</v>
      </c>
      <c r="G273" t="s">
        <v>47</v>
      </c>
      <c r="H273">
        <v>61</v>
      </c>
      <c r="I273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122</v>
      </c>
      <c r="Q273" t="s">
        <v>2053</v>
      </c>
      <c r="R273" t="s">
        <v>2054</v>
      </c>
      <c r="S273" s="7">
        <f t="shared" si="18"/>
        <v>42345.25</v>
      </c>
      <c r="T273" s="8">
        <f t="shared" si="19"/>
        <v>42376.25</v>
      </c>
    </row>
    <row r="274" spans="1:20" x14ac:dyDescent="0.3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16"/>
        <v>3.0400978473581213</v>
      </c>
      <c r="G274" t="s">
        <v>20</v>
      </c>
      <c r="H274">
        <v>1894</v>
      </c>
      <c r="I274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">
        <v>2038</v>
      </c>
      <c r="R274" t="s">
        <v>2039</v>
      </c>
      <c r="S274" s="7">
        <f t="shared" si="18"/>
        <v>43656.208333333328</v>
      </c>
      <c r="T274" s="8">
        <f t="shared" si="19"/>
        <v>43681.208333333328</v>
      </c>
    </row>
    <row r="275" spans="1:20" x14ac:dyDescent="0.3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16"/>
        <v>1.3723076923076922</v>
      </c>
      <c r="G275" t="s">
        <v>20</v>
      </c>
      <c r="H275">
        <v>282</v>
      </c>
      <c r="I275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">
        <v>2038</v>
      </c>
      <c r="R275" t="s">
        <v>2039</v>
      </c>
      <c r="S275" s="7">
        <f t="shared" si="18"/>
        <v>42995.208333333328</v>
      </c>
      <c r="T275" s="8">
        <f t="shared" si="19"/>
        <v>42998.208333333328</v>
      </c>
    </row>
    <row r="276" spans="1:20" ht="31" x14ac:dyDescent="0.3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16"/>
        <v>0.32208333333333333</v>
      </c>
      <c r="G276" t="s">
        <v>14</v>
      </c>
      <c r="H276">
        <v>15</v>
      </c>
      <c r="I276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">
        <v>2038</v>
      </c>
      <c r="R276" t="s">
        <v>2039</v>
      </c>
      <c r="S276" s="7">
        <f t="shared" si="18"/>
        <v>43045.25</v>
      </c>
      <c r="T276" s="8">
        <f t="shared" si="19"/>
        <v>43050.25</v>
      </c>
    </row>
    <row r="277" spans="1:20" ht="31" x14ac:dyDescent="0.3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16"/>
        <v>2.4151282051282053</v>
      </c>
      <c r="G277" t="s">
        <v>20</v>
      </c>
      <c r="H277">
        <v>116</v>
      </c>
      <c r="I277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206</v>
      </c>
      <c r="Q277" t="s">
        <v>2046</v>
      </c>
      <c r="R277" t="s">
        <v>2058</v>
      </c>
      <c r="S277" s="7">
        <f t="shared" si="18"/>
        <v>43561.208333333328</v>
      </c>
      <c r="T277" s="8">
        <f t="shared" si="19"/>
        <v>43569.208333333328</v>
      </c>
    </row>
    <row r="278" spans="1:20" x14ac:dyDescent="0.3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16"/>
        <v>0.96799999999999997</v>
      </c>
      <c r="G278" t="s">
        <v>14</v>
      </c>
      <c r="H278">
        <v>133</v>
      </c>
      <c r="I278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89</v>
      </c>
      <c r="Q278" t="s">
        <v>2049</v>
      </c>
      <c r="R278" t="s">
        <v>2050</v>
      </c>
      <c r="S278" s="7">
        <f t="shared" si="18"/>
        <v>41018.208333333336</v>
      </c>
      <c r="T278" s="8">
        <f t="shared" si="19"/>
        <v>41023.208333333336</v>
      </c>
    </row>
    <row r="279" spans="1:20" ht="31" x14ac:dyDescent="0.3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16"/>
        <v>10.664285714285715</v>
      </c>
      <c r="G279" t="s">
        <v>20</v>
      </c>
      <c r="H279">
        <v>83</v>
      </c>
      <c r="I279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">
        <v>2038</v>
      </c>
      <c r="R279" t="s">
        <v>2039</v>
      </c>
      <c r="S279" s="7">
        <f t="shared" si="18"/>
        <v>40378.208333333336</v>
      </c>
      <c r="T279" s="8">
        <f t="shared" si="19"/>
        <v>40380.208333333336</v>
      </c>
    </row>
    <row r="280" spans="1:20" x14ac:dyDescent="0.3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16"/>
        <v>3.2588888888888889</v>
      </c>
      <c r="G280" t="s">
        <v>20</v>
      </c>
      <c r="H280">
        <v>91</v>
      </c>
      <c r="I280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">
        <v>2036</v>
      </c>
      <c r="R280" t="s">
        <v>2037</v>
      </c>
      <c r="S280" s="7">
        <f t="shared" si="18"/>
        <v>41239.25</v>
      </c>
      <c r="T280" s="8">
        <f t="shared" si="19"/>
        <v>41264.25</v>
      </c>
    </row>
    <row r="281" spans="1:20" x14ac:dyDescent="0.3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16"/>
        <v>1.7070000000000001</v>
      </c>
      <c r="G281" t="s">
        <v>20</v>
      </c>
      <c r="H281">
        <v>546</v>
      </c>
      <c r="I281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">
        <v>2038</v>
      </c>
      <c r="R281" t="s">
        <v>2039</v>
      </c>
      <c r="S281" s="7">
        <f t="shared" si="18"/>
        <v>43346.208333333328</v>
      </c>
      <c r="T281" s="8">
        <f t="shared" si="19"/>
        <v>43349.208333333328</v>
      </c>
    </row>
    <row r="282" spans="1:20" ht="31" x14ac:dyDescent="0.3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16"/>
        <v>5.8144</v>
      </c>
      <c r="G282" t="s">
        <v>20</v>
      </c>
      <c r="H282">
        <v>393</v>
      </c>
      <c r="I282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71</v>
      </c>
      <c r="Q282" t="s">
        <v>2040</v>
      </c>
      <c r="R282" t="s">
        <v>2048</v>
      </c>
      <c r="S282" s="7">
        <f t="shared" si="18"/>
        <v>43060.25</v>
      </c>
      <c r="T282" s="8">
        <f t="shared" si="19"/>
        <v>43066.25</v>
      </c>
    </row>
    <row r="283" spans="1:20" x14ac:dyDescent="0.3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16"/>
        <v>0.91520972644376897</v>
      </c>
      <c r="G283" t="s">
        <v>14</v>
      </c>
      <c r="H283">
        <v>2062</v>
      </c>
      <c r="I283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">
        <v>2038</v>
      </c>
      <c r="R283" t="s">
        <v>2039</v>
      </c>
      <c r="S283" s="7">
        <f t="shared" si="18"/>
        <v>40979.25</v>
      </c>
      <c r="T283" s="8">
        <f t="shared" si="19"/>
        <v>41000.208333333336</v>
      </c>
    </row>
    <row r="284" spans="1:20" x14ac:dyDescent="0.3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16"/>
        <v>1.0804761904761904</v>
      </c>
      <c r="G284" t="s">
        <v>20</v>
      </c>
      <c r="H284">
        <v>133</v>
      </c>
      <c r="I284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269</v>
      </c>
      <c r="Q284" t="s">
        <v>2040</v>
      </c>
      <c r="R284" t="s">
        <v>2059</v>
      </c>
      <c r="S284" s="7">
        <f t="shared" si="18"/>
        <v>42701.25</v>
      </c>
      <c r="T284" s="8">
        <f t="shared" si="19"/>
        <v>42707.25</v>
      </c>
    </row>
    <row r="285" spans="1:20" ht="31" x14ac:dyDescent="0.3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16"/>
        <v>0.18728395061728395</v>
      </c>
      <c r="G285" t="s">
        <v>14</v>
      </c>
      <c r="H285">
        <v>29</v>
      </c>
      <c r="I285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">
        <v>2034</v>
      </c>
      <c r="R285" t="s">
        <v>2035</v>
      </c>
      <c r="S285" s="7">
        <f t="shared" si="18"/>
        <v>42520.208333333328</v>
      </c>
      <c r="T285" s="8">
        <f t="shared" si="19"/>
        <v>42525.208333333328</v>
      </c>
    </row>
    <row r="286" spans="1:20" x14ac:dyDescent="0.3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16"/>
        <v>0.83193877551020412</v>
      </c>
      <c r="G286" t="s">
        <v>14</v>
      </c>
      <c r="H286">
        <v>132</v>
      </c>
      <c r="I286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">
        <v>2036</v>
      </c>
      <c r="R286" t="s">
        <v>2037</v>
      </c>
      <c r="S286" s="7">
        <f t="shared" si="18"/>
        <v>41030.208333333336</v>
      </c>
      <c r="T286" s="8">
        <f t="shared" si="19"/>
        <v>41035.208333333336</v>
      </c>
    </row>
    <row r="287" spans="1:20" x14ac:dyDescent="0.3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16"/>
        <v>7.0633333333333335</v>
      </c>
      <c r="G287" t="s">
        <v>20</v>
      </c>
      <c r="H287">
        <v>254</v>
      </c>
      <c r="I287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">
        <v>2038</v>
      </c>
      <c r="R287" t="s">
        <v>2039</v>
      </c>
      <c r="S287" s="7">
        <f t="shared" si="18"/>
        <v>42623.208333333328</v>
      </c>
      <c r="T287" s="8">
        <f t="shared" si="19"/>
        <v>42661.208333333328</v>
      </c>
    </row>
    <row r="288" spans="1:20" x14ac:dyDescent="0.3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16"/>
        <v>0.17446030330062445</v>
      </c>
      <c r="G288" t="s">
        <v>74</v>
      </c>
      <c r="H288">
        <v>184</v>
      </c>
      <c r="I288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">
        <v>2038</v>
      </c>
      <c r="R288" t="s">
        <v>2039</v>
      </c>
      <c r="S288" s="7">
        <f t="shared" si="18"/>
        <v>42697.25</v>
      </c>
      <c r="T288" s="8">
        <f t="shared" si="19"/>
        <v>42704.25</v>
      </c>
    </row>
    <row r="289" spans="1:20" x14ac:dyDescent="0.3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16"/>
        <v>2.0973015873015872</v>
      </c>
      <c r="G289" t="s">
        <v>20</v>
      </c>
      <c r="H289">
        <v>176</v>
      </c>
      <c r="I289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">
        <v>2034</v>
      </c>
      <c r="R289" t="s">
        <v>2042</v>
      </c>
      <c r="S289" s="7">
        <f t="shared" si="18"/>
        <v>42122.208333333328</v>
      </c>
      <c r="T289" s="8">
        <f t="shared" si="19"/>
        <v>42122.208333333328</v>
      </c>
    </row>
    <row r="290" spans="1:20" x14ac:dyDescent="0.3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16"/>
        <v>0.97785714285714287</v>
      </c>
      <c r="G290" t="s">
        <v>14</v>
      </c>
      <c r="H290">
        <v>137</v>
      </c>
      <c r="I290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148</v>
      </c>
      <c r="Q290" t="s">
        <v>2034</v>
      </c>
      <c r="R290" t="s">
        <v>2056</v>
      </c>
      <c r="S290" s="7">
        <f t="shared" si="18"/>
        <v>40982.208333333336</v>
      </c>
      <c r="T290" s="8">
        <f t="shared" si="19"/>
        <v>40983.208333333336</v>
      </c>
    </row>
    <row r="291" spans="1:20" x14ac:dyDescent="0.3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16"/>
        <v>16.842500000000001</v>
      </c>
      <c r="G291" t="s">
        <v>20</v>
      </c>
      <c r="H291">
        <v>337</v>
      </c>
      <c r="I291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">
        <v>2038</v>
      </c>
      <c r="R291" t="s">
        <v>2039</v>
      </c>
      <c r="S291" s="7">
        <f t="shared" si="18"/>
        <v>42219.208333333328</v>
      </c>
      <c r="T291" s="8">
        <f t="shared" si="19"/>
        <v>42222.208333333328</v>
      </c>
    </row>
    <row r="292" spans="1:20" x14ac:dyDescent="0.3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16"/>
        <v>0.54402135231316728</v>
      </c>
      <c r="G292" t="s">
        <v>14</v>
      </c>
      <c r="H292">
        <v>908</v>
      </c>
      <c r="I292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">
        <v>2040</v>
      </c>
      <c r="R292" t="s">
        <v>2041</v>
      </c>
      <c r="S292" s="7">
        <f t="shared" si="18"/>
        <v>41404.208333333336</v>
      </c>
      <c r="T292" s="8">
        <f t="shared" si="19"/>
        <v>41436.208333333336</v>
      </c>
    </row>
    <row r="293" spans="1:20" x14ac:dyDescent="0.3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16"/>
        <v>4.5661111111111108</v>
      </c>
      <c r="G293" t="s">
        <v>20</v>
      </c>
      <c r="H293">
        <v>107</v>
      </c>
      <c r="I293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">
        <v>2036</v>
      </c>
      <c r="R293" t="s">
        <v>2037</v>
      </c>
      <c r="S293" s="7">
        <f t="shared" si="18"/>
        <v>40831.208333333336</v>
      </c>
      <c r="T293" s="8">
        <f t="shared" si="19"/>
        <v>40835.208333333336</v>
      </c>
    </row>
    <row r="294" spans="1:20" x14ac:dyDescent="0.3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16"/>
        <v>9.8219178082191785E-2</v>
      </c>
      <c r="G294" t="s">
        <v>14</v>
      </c>
      <c r="H294">
        <v>10</v>
      </c>
      <c r="I294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">
        <v>2032</v>
      </c>
      <c r="R294" t="s">
        <v>2033</v>
      </c>
      <c r="S294" s="7">
        <f t="shared" si="18"/>
        <v>40984.208333333336</v>
      </c>
      <c r="T294" s="8">
        <f t="shared" si="19"/>
        <v>41002.208333333336</v>
      </c>
    </row>
    <row r="295" spans="1:20" x14ac:dyDescent="0.3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16"/>
        <v>0.16384615384615384</v>
      </c>
      <c r="G295" t="s">
        <v>74</v>
      </c>
      <c r="H295">
        <v>32</v>
      </c>
      <c r="I295">
        <f t="shared" si="17"/>
        <v>33.28125</v>
      </c>
      <c r="J295" t="s">
        <v>107</v>
      </c>
      <c r="K295" t="s">
        <v>108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">
        <v>2038</v>
      </c>
      <c r="R295" t="s">
        <v>2039</v>
      </c>
      <c r="S295" s="7">
        <f t="shared" si="18"/>
        <v>40456.208333333336</v>
      </c>
      <c r="T295" s="8">
        <f t="shared" si="19"/>
        <v>40465.208333333336</v>
      </c>
    </row>
    <row r="296" spans="1:20" x14ac:dyDescent="0.3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16"/>
        <v>13.396666666666667</v>
      </c>
      <c r="G296" t="s">
        <v>20</v>
      </c>
      <c r="H296">
        <v>183</v>
      </c>
      <c r="I296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">
        <v>2038</v>
      </c>
      <c r="R296" t="s">
        <v>2039</v>
      </c>
      <c r="S296" s="7">
        <f t="shared" si="18"/>
        <v>43399.208333333328</v>
      </c>
      <c r="T296" s="8">
        <f t="shared" si="19"/>
        <v>43411.25</v>
      </c>
    </row>
    <row r="297" spans="1:20" ht="31" x14ac:dyDescent="0.3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16"/>
        <v>0.35650077760497667</v>
      </c>
      <c r="G297" t="s">
        <v>14</v>
      </c>
      <c r="H297">
        <v>1910</v>
      </c>
      <c r="I297">
        <f t="shared" si="17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">
        <v>2038</v>
      </c>
      <c r="R297" t="s">
        <v>2039</v>
      </c>
      <c r="S297" s="7">
        <f t="shared" si="18"/>
        <v>41562.208333333336</v>
      </c>
      <c r="T297" s="8">
        <f t="shared" si="19"/>
        <v>41587.25</v>
      </c>
    </row>
    <row r="298" spans="1:20" ht="31" x14ac:dyDescent="0.3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16"/>
        <v>0.54950819672131146</v>
      </c>
      <c r="G298" t="s">
        <v>14</v>
      </c>
      <c r="H298">
        <v>38</v>
      </c>
      <c r="I298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">
        <v>2038</v>
      </c>
      <c r="R298" t="s">
        <v>2039</v>
      </c>
      <c r="S298" s="7">
        <f t="shared" si="18"/>
        <v>43493.25</v>
      </c>
      <c r="T298" s="8">
        <f t="shared" si="19"/>
        <v>43515.25</v>
      </c>
    </row>
    <row r="299" spans="1:20" x14ac:dyDescent="0.3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16"/>
        <v>0.94236111111111109</v>
      </c>
      <c r="G299" t="s">
        <v>14</v>
      </c>
      <c r="H299">
        <v>104</v>
      </c>
      <c r="I299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">
        <v>2038</v>
      </c>
      <c r="R299" t="s">
        <v>2039</v>
      </c>
      <c r="S299" s="7">
        <f t="shared" si="18"/>
        <v>41653.25</v>
      </c>
      <c r="T299" s="8">
        <f t="shared" si="19"/>
        <v>41662.25</v>
      </c>
    </row>
    <row r="300" spans="1:20" x14ac:dyDescent="0.3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16"/>
        <v>1.4391428571428571</v>
      </c>
      <c r="G300" t="s">
        <v>20</v>
      </c>
      <c r="H300">
        <v>72</v>
      </c>
      <c r="I300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">
        <v>2034</v>
      </c>
      <c r="R300" t="s">
        <v>2035</v>
      </c>
      <c r="S300" s="7">
        <f t="shared" si="18"/>
        <v>42426.25</v>
      </c>
      <c r="T300" s="8">
        <f t="shared" si="19"/>
        <v>42444.208333333328</v>
      </c>
    </row>
    <row r="301" spans="1:20" ht="31" x14ac:dyDescent="0.3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16"/>
        <v>0.51421052631578945</v>
      </c>
      <c r="G301" t="s">
        <v>14</v>
      </c>
      <c r="H301">
        <v>49</v>
      </c>
      <c r="I301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">
        <v>2032</v>
      </c>
      <c r="R301" t="s">
        <v>2033</v>
      </c>
      <c r="S301" s="7">
        <f t="shared" si="18"/>
        <v>42432.25</v>
      </c>
      <c r="T301" s="8">
        <f t="shared" si="19"/>
        <v>42488.208333333328</v>
      </c>
    </row>
    <row r="302" spans="1:20" x14ac:dyDescent="0.3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16"/>
        <v>0.05</v>
      </c>
      <c r="G302" t="s">
        <v>14</v>
      </c>
      <c r="H302">
        <v>1</v>
      </c>
      <c r="I302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68</v>
      </c>
      <c r="Q302" t="s">
        <v>2046</v>
      </c>
      <c r="R302" t="s">
        <v>2047</v>
      </c>
      <c r="S302" s="7">
        <f t="shared" si="18"/>
        <v>42977.208333333328</v>
      </c>
      <c r="T302" s="8">
        <f t="shared" si="19"/>
        <v>42978.208333333328</v>
      </c>
    </row>
    <row r="303" spans="1:20" ht="31" x14ac:dyDescent="0.3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16"/>
        <v>13.446666666666667</v>
      </c>
      <c r="G303" t="s">
        <v>20</v>
      </c>
      <c r="H303">
        <v>295</v>
      </c>
      <c r="I303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">
        <v>2040</v>
      </c>
      <c r="R303" t="s">
        <v>2041</v>
      </c>
      <c r="S303" s="7">
        <f t="shared" si="18"/>
        <v>42061.25</v>
      </c>
      <c r="T303" s="8">
        <f t="shared" si="19"/>
        <v>42078.208333333328</v>
      </c>
    </row>
    <row r="304" spans="1:20" x14ac:dyDescent="0.3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16"/>
        <v>0.31844940867279897</v>
      </c>
      <c r="G304" t="s">
        <v>14</v>
      </c>
      <c r="H304">
        <v>245</v>
      </c>
      <c r="I304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">
        <v>2038</v>
      </c>
      <c r="R304" t="s">
        <v>2039</v>
      </c>
      <c r="S304" s="7">
        <f t="shared" si="18"/>
        <v>43345.208333333328</v>
      </c>
      <c r="T304" s="8">
        <f t="shared" si="19"/>
        <v>43359.208333333328</v>
      </c>
    </row>
    <row r="305" spans="1:20" x14ac:dyDescent="0.3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16"/>
        <v>0.82617647058823529</v>
      </c>
      <c r="G305" t="s">
        <v>14</v>
      </c>
      <c r="H305">
        <v>32</v>
      </c>
      <c r="I305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60</v>
      </c>
      <c r="Q305" t="s">
        <v>2034</v>
      </c>
      <c r="R305" t="s">
        <v>2044</v>
      </c>
      <c r="S305" s="7">
        <f t="shared" si="18"/>
        <v>42376.25</v>
      </c>
      <c r="T305" s="8">
        <f t="shared" si="19"/>
        <v>42381.25</v>
      </c>
    </row>
    <row r="306" spans="1:20" x14ac:dyDescent="0.3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16"/>
        <v>5.4614285714285717</v>
      </c>
      <c r="G306" t="s">
        <v>20</v>
      </c>
      <c r="H306">
        <v>142</v>
      </c>
      <c r="I306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">
        <v>2040</v>
      </c>
      <c r="R306" t="s">
        <v>2041</v>
      </c>
      <c r="S306" s="7">
        <f t="shared" si="18"/>
        <v>42589.208333333328</v>
      </c>
      <c r="T306" s="8">
        <f t="shared" si="19"/>
        <v>42630.208333333328</v>
      </c>
    </row>
    <row r="307" spans="1:20" x14ac:dyDescent="0.3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16"/>
        <v>2.8621428571428571</v>
      </c>
      <c r="G307" t="s">
        <v>20</v>
      </c>
      <c r="H307">
        <v>85</v>
      </c>
      <c r="I307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">
        <v>2038</v>
      </c>
      <c r="R307" t="s">
        <v>2039</v>
      </c>
      <c r="S307" s="7">
        <f t="shared" si="18"/>
        <v>42448.208333333328</v>
      </c>
      <c r="T307" s="8">
        <f t="shared" si="19"/>
        <v>42489.208333333328</v>
      </c>
    </row>
    <row r="308" spans="1:20" ht="31" x14ac:dyDescent="0.3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16"/>
        <v>7.9076923076923072E-2</v>
      </c>
      <c r="G308" t="s">
        <v>14</v>
      </c>
      <c r="H308">
        <v>7</v>
      </c>
      <c r="I308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">
        <v>2038</v>
      </c>
      <c r="R308" t="s">
        <v>2039</v>
      </c>
      <c r="S308" s="7">
        <f t="shared" si="18"/>
        <v>42930.208333333328</v>
      </c>
      <c r="T308" s="8">
        <f t="shared" si="19"/>
        <v>42933.208333333328</v>
      </c>
    </row>
    <row r="309" spans="1:20" x14ac:dyDescent="0.3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16"/>
        <v>1.3213677811550153</v>
      </c>
      <c r="G309" t="s">
        <v>20</v>
      </c>
      <c r="H309">
        <v>659</v>
      </c>
      <c r="I309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119</v>
      </c>
      <c r="Q309" t="s">
        <v>2046</v>
      </c>
      <c r="R309" t="s">
        <v>2052</v>
      </c>
      <c r="S309" s="7">
        <f t="shared" si="18"/>
        <v>41066.208333333336</v>
      </c>
      <c r="T309" s="8">
        <f t="shared" si="19"/>
        <v>41086.208333333336</v>
      </c>
    </row>
    <row r="310" spans="1:20" x14ac:dyDescent="0.3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16"/>
        <v>0.74077834179357027</v>
      </c>
      <c r="G310" t="s">
        <v>14</v>
      </c>
      <c r="H310">
        <v>803</v>
      </c>
      <c r="I310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">
        <v>2038</v>
      </c>
      <c r="R310" t="s">
        <v>2039</v>
      </c>
      <c r="S310" s="7">
        <f t="shared" si="18"/>
        <v>40651.208333333336</v>
      </c>
      <c r="T310" s="8">
        <f t="shared" si="19"/>
        <v>40652.208333333336</v>
      </c>
    </row>
    <row r="311" spans="1:20" x14ac:dyDescent="0.3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16"/>
        <v>0.75292682926829269</v>
      </c>
      <c r="G311" t="s">
        <v>74</v>
      </c>
      <c r="H311">
        <v>75</v>
      </c>
      <c r="I311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60</v>
      </c>
      <c r="Q311" t="s">
        <v>2034</v>
      </c>
      <c r="R311" t="s">
        <v>2044</v>
      </c>
      <c r="S311" s="7">
        <f t="shared" si="18"/>
        <v>40807.208333333336</v>
      </c>
      <c r="T311" s="8">
        <f t="shared" si="19"/>
        <v>40827.208333333336</v>
      </c>
    </row>
    <row r="312" spans="1:20" x14ac:dyDescent="0.3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16"/>
        <v>0.20333333333333334</v>
      </c>
      <c r="G312" t="s">
        <v>14</v>
      </c>
      <c r="H312">
        <v>16</v>
      </c>
      <c r="I312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89</v>
      </c>
      <c r="Q312" t="s">
        <v>2049</v>
      </c>
      <c r="R312" t="s">
        <v>2050</v>
      </c>
      <c r="S312" s="7">
        <f t="shared" si="18"/>
        <v>40277.208333333336</v>
      </c>
      <c r="T312" s="8">
        <f t="shared" si="19"/>
        <v>40293.208333333336</v>
      </c>
    </row>
    <row r="313" spans="1:20" x14ac:dyDescent="0.3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16"/>
        <v>2.0336507936507937</v>
      </c>
      <c r="G313" t="s">
        <v>20</v>
      </c>
      <c r="H313">
        <v>121</v>
      </c>
      <c r="I313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">
        <v>2038</v>
      </c>
      <c r="R313" t="s">
        <v>2039</v>
      </c>
      <c r="S313" s="7">
        <f t="shared" si="18"/>
        <v>40590.25</v>
      </c>
      <c r="T313" s="8">
        <f t="shared" si="19"/>
        <v>40602.25</v>
      </c>
    </row>
    <row r="314" spans="1:20" x14ac:dyDescent="0.3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16"/>
        <v>3.1022842639593908</v>
      </c>
      <c r="G314" t="s">
        <v>20</v>
      </c>
      <c r="H314">
        <v>3742</v>
      </c>
      <c r="I314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">
        <v>2038</v>
      </c>
      <c r="R314" t="s">
        <v>2039</v>
      </c>
      <c r="S314" s="7">
        <f t="shared" si="18"/>
        <v>41572.208333333336</v>
      </c>
      <c r="T314" s="8">
        <f t="shared" si="19"/>
        <v>41579.208333333336</v>
      </c>
    </row>
    <row r="315" spans="1:20" x14ac:dyDescent="0.3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16"/>
        <v>3.9531818181818181</v>
      </c>
      <c r="G315" t="s">
        <v>20</v>
      </c>
      <c r="H315">
        <v>223</v>
      </c>
      <c r="I315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">
        <v>2034</v>
      </c>
      <c r="R315" t="s">
        <v>2035</v>
      </c>
      <c r="S315" s="7">
        <f t="shared" si="18"/>
        <v>40966.25</v>
      </c>
      <c r="T315" s="8">
        <f t="shared" si="19"/>
        <v>40968.25</v>
      </c>
    </row>
    <row r="316" spans="1:20" x14ac:dyDescent="0.3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16"/>
        <v>2.9471428571428571</v>
      </c>
      <c r="G316" t="s">
        <v>20</v>
      </c>
      <c r="H316">
        <v>133</v>
      </c>
      <c r="I316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">
        <v>2040</v>
      </c>
      <c r="R316" t="s">
        <v>2041</v>
      </c>
      <c r="S316" s="7">
        <f t="shared" si="18"/>
        <v>43536.208333333328</v>
      </c>
      <c r="T316" s="8">
        <f t="shared" si="19"/>
        <v>43541.208333333328</v>
      </c>
    </row>
    <row r="317" spans="1:20" ht="31" x14ac:dyDescent="0.3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16"/>
        <v>0.33894736842105261</v>
      </c>
      <c r="G317" t="s">
        <v>14</v>
      </c>
      <c r="H317">
        <v>31</v>
      </c>
      <c r="I317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">
        <v>2038</v>
      </c>
      <c r="R317" t="s">
        <v>2039</v>
      </c>
      <c r="S317" s="7">
        <f t="shared" si="18"/>
        <v>41783.208333333336</v>
      </c>
      <c r="T317" s="8">
        <f t="shared" si="19"/>
        <v>41812.208333333336</v>
      </c>
    </row>
    <row r="318" spans="1:20" x14ac:dyDescent="0.3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16"/>
        <v>0.66677083333333331</v>
      </c>
      <c r="G318" t="s">
        <v>14</v>
      </c>
      <c r="H318">
        <v>108</v>
      </c>
      <c r="I318">
        <f t="shared" si="17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">
        <v>2032</v>
      </c>
      <c r="R318" t="s">
        <v>2033</v>
      </c>
      <c r="S318" s="7">
        <f t="shared" si="18"/>
        <v>43788.25</v>
      </c>
      <c r="T318" s="8">
        <f t="shared" si="19"/>
        <v>43789.25</v>
      </c>
    </row>
    <row r="319" spans="1:20" x14ac:dyDescent="0.3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16"/>
        <v>0.19227272727272726</v>
      </c>
      <c r="G319" t="s">
        <v>14</v>
      </c>
      <c r="H319">
        <v>30</v>
      </c>
      <c r="I319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">
        <v>2038</v>
      </c>
      <c r="R319" t="s">
        <v>2039</v>
      </c>
      <c r="S319" s="7">
        <f t="shared" si="18"/>
        <v>42869.208333333328</v>
      </c>
      <c r="T319" s="8">
        <f t="shared" si="19"/>
        <v>42882.208333333328</v>
      </c>
    </row>
    <row r="320" spans="1:20" ht="31" x14ac:dyDescent="0.3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16"/>
        <v>0.15842105263157893</v>
      </c>
      <c r="G320" t="s">
        <v>14</v>
      </c>
      <c r="H320">
        <v>17</v>
      </c>
      <c r="I320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">
        <v>2034</v>
      </c>
      <c r="R320" t="s">
        <v>2035</v>
      </c>
      <c r="S320" s="7">
        <f t="shared" si="18"/>
        <v>41684.25</v>
      </c>
      <c r="T320" s="8">
        <f t="shared" si="19"/>
        <v>41686.25</v>
      </c>
    </row>
    <row r="321" spans="1:20" x14ac:dyDescent="0.3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16"/>
        <v>0.38702380952380955</v>
      </c>
      <c r="G321" t="s">
        <v>74</v>
      </c>
      <c r="H321">
        <v>64</v>
      </c>
      <c r="I321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">
        <v>2036</v>
      </c>
      <c r="R321" t="s">
        <v>2037</v>
      </c>
      <c r="S321" s="7">
        <f t="shared" si="18"/>
        <v>40402.208333333336</v>
      </c>
      <c r="T321" s="8">
        <f t="shared" si="19"/>
        <v>40426.208333333336</v>
      </c>
    </row>
    <row r="322" spans="1:20" x14ac:dyDescent="0.3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16"/>
        <v>9.5876777251184833E-2</v>
      </c>
      <c r="G322" t="s">
        <v>14</v>
      </c>
      <c r="H322">
        <v>80</v>
      </c>
      <c r="I322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119</v>
      </c>
      <c r="Q322" t="s">
        <v>2046</v>
      </c>
      <c r="R322" t="s">
        <v>2052</v>
      </c>
      <c r="S322" s="7">
        <f t="shared" si="18"/>
        <v>40673.208333333336</v>
      </c>
      <c r="T322" s="8">
        <f t="shared" si="19"/>
        <v>40682.208333333336</v>
      </c>
    </row>
    <row r="323" spans="1:20" ht="31" x14ac:dyDescent="0.3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ref="F323:F386" si="20">E323/D323</f>
        <v>0.94144366197183094</v>
      </c>
      <c r="G323" t="s">
        <v>14</v>
      </c>
      <c r="H323">
        <v>2468</v>
      </c>
      <c r="I323">
        <f t="shared" ref="I323:I386" si="21">IFERROR(E323/H323, "0")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100</v>
      </c>
      <c r="Q323" t="s">
        <v>2040</v>
      </c>
      <c r="R323" t="s">
        <v>2051</v>
      </c>
      <c r="S323" s="7">
        <f t="shared" ref="S323:S386" si="22">(((L323/60)/60)/24)+DATE(1970,1,1)</f>
        <v>40634.208333333336</v>
      </c>
      <c r="T323" s="8">
        <f t="shared" ref="T323:T386" si="23">(((M323/60)/60)/24)+DATE(1970,1,1)</f>
        <v>40642.208333333336</v>
      </c>
    </row>
    <row r="324" spans="1:20" ht="31" x14ac:dyDescent="0.3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si="20"/>
        <v>1.6656234096692113</v>
      </c>
      <c r="G324" t="s">
        <v>20</v>
      </c>
      <c r="H324">
        <v>5168</v>
      </c>
      <c r="I324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">
        <v>2038</v>
      </c>
      <c r="R324" t="s">
        <v>2039</v>
      </c>
      <c r="S324" s="7">
        <f t="shared" si="22"/>
        <v>40507.25</v>
      </c>
      <c r="T324" s="8">
        <f t="shared" si="23"/>
        <v>40520.25</v>
      </c>
    </row>
    <row r="325" spans="1:20" x14ac:dyDescent="0.3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20"/>
        <v>0.24134831460674158</v>
      </c>
      <c r="G325" t="s">
        <v>14</v>
      </c>
      <c r="H325">
        <v>26</v>
      </c>
      <c r="I325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">
        <v>2040</v>
      </c>
      <c r="R325" t="s">
        <v>2041</v>
      </c>
      <c r="S325" s="7">
        <f t="shared" si="22"/>
        <v>41725.208333333336</v>
      </c>
      <c r="T325" s="8">
        <f t="shared" si="23"/>
        <v>41727.208333333336</v>
      </c>
    </row>
    <row r="326" spans="1:20" x14ac:dyDescent="0.3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20"/>
        <v>1.6405633802816901</v>
      </c>
      <c r="G326" t="s">
        <v>20</v>
      </c>
      <c r="H326">
        <v>307</v>
      </c>
      <c r="I326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">
        <v>2038</v>
      </c>
      <c r="R326" t="s">
        <v>2039</v>
      </c>
      <c r="S326" s="7">
        <f t="shared" si="22"/>
        <v>42176.208333333328</v>
      </c>
      <c r="T326" s="8">
        <f t="shared" si="23"/>
        <v>42188.208333333328</v>
      </c>
    </row>
    <row r="327" spans="1:20" ht="31" x14ac:dyDescent="0.3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20"/>
        <v>0.90723076923076929</v>
      </c>
      <c r="G327" t="s">
        <v>14</v>
      </c>
      <c r="H327">
        <v>73</v>
      </c>
      <c r="I327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">
        <v>2038</v>
      </c>
      <c r="R327" t="s">
        <v>2039</v>
      </c>
      <c r="S327" s="7">
        <f t="shared" si="22"/>
        <v>43267.208333333328</v>
      </c>
      <c r="T327" s="8">
        <f t="shared" si="23"/>
        <v>43290.208333333328</v>
      </c>
    </row>
    <row r="328" spans="1:20" ht="31" x14ac:dyDescent="0.3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20"/>
        <v>0.46194444444444444</v>
      </c>
      <c r="G328" t="s">
        <v>14</v>
      </c>
      <c r="H328">
        <v>128</v>
      </c>
      <c r="I328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71</v>
      </c>
      <c r="Q328" t="s">
        <v>2040</v>
      </c>
      <c r="R328" t="s">
        <v>2048</v>
      </c>
      <c r="S328" s="7">
        <f t="shared" si="22"/>
        <v>42364.25</v>
      </c>
      <c r="T328" s="8">
        <f t="shared" si="23"/>
        <v>42370.25</v>
      </c>
    </row>
    <row r="329" spans="1:20" x14ac:dyDescent="0.3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20"/>
        <v>0.38538461538461538</v>
      </c>
      <c r="G329" t="s">
        <v>14</v>
      </c>
      <c r="H329">
        <v>33</v>
      </c>
      <c r="I329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">
        <v>2038</v>
      </c>
      <c r="R329" t="s">
        <v>2039</v>
      </c>
      <c r="S329" s="7">
        <f t="shared" si="22"/>
        <v>43705.208333333328</v>
      </c>
      <c r="T329" s="8">
        <f t="shared" si="23"/>
        <v>43709.208333333328</v>
      </c>
    </row>
    <row r="330" spans="1:20" ht="31" x14ac:dyDescent="0.3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20"/>
        <v>1.3356231003039514</v>
      </c>
      <c r="G330" t="s">
        <v>20</v>
      </c>
      <c r="H330">
        <v>2441</v>
      </c>
      <c r="I330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">
        <v>2034</v>
      </c>
      <c r="R330" t="s">
        <v>2035</v>
      </c>
      <c r="S330" s="7">
        <f t="shared" si="22"/>
        <v>43434.25</v>
      </c>
      <c r="T330" s="8">
        <f t="shared" si="23"/>
        <v>43445.25</v>
      </c>
    </row>
    <row r="331" spans="1:20" x14ac:dyDescent="0.3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20"/>
        <v>0.22896588486140726</v>
      </c>
      <c r="G331" t="s">
        <v>47</v>
      </c>
      <c r="H331">
        <v>211</v>
      </c>
      <c r="I331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89</v>
      </c>
      <c r="Q331" t="s">
        <v>2049</v>
      </c>
      <c r="R331" t="s">
        <v>2050</v>
      </c>
      <c r="S331" s="7">
        <f t="shared" si="22"/>
        <v>42716.25</v>
      </c>
      <c r="T331" s="8">
        <f t="shared" si="23"/>
        <v>42727.25</v>
      </c>
    </row>
    <row r="332" spans="1:20" ht="31" x14ac:dyDescent="0.3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20"/>
        <v>1.8495548961424333</v>
      </c>
      <c r="G332" t="s">
        <v>20</v>
      </c>
      <c r="H332">
        <v>1385</v>
      </c>
      <c r="I332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">
        <v>2040</v>
      </c>
      <c r="R332" t="s">
        <v>2041</v>
      </c>
      <c r="S332" s="7">
        <f t="shared" si="22"/>
        <v>43077.25</v>
      </c>
      <c r="T332" s="8">
        <f t="shared" si="23"/>
        <v>43078.25</v>
      </c>
    </row>
    <row r="333" spans="1:20" x14ac:dyDescent="0.3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20"/>
        <v>4.4372727272727275</v>
      </c>
      <c r="G333" t="s">
        <v>20</v>
      </c>
      <c r="H333">
        <v>190</v>
      </c>
      <c r="I333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">
        <v>2032</v>
      </c>
      <c r="R333" t="s">
        <v>2033</v>
      </c>
      <c r="S333" s="7">
        <f t="shared" si="22"/>
        <v>40896.25</v>
      </c>
      <c r="T333" s="8">
        <f t="shared" si="23"/>
        <v>40897.25</v>
      </c>
    </row>
    <row r="334" spans="1:20" ht="31" x14ac:dyDescent="0.3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20"/>
        <v>1.999806763285024</v>
      </c>
      <c r="G334" t="s">
        <v>20</v>
      </c>
      <c r="H334">
        <v>470</v>
      </c>
      <c r="I334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65</v>
      </c>
      <c r="Q334" t="s">
        <v>2036</v>
      </c>
      <c r="R334" t="s">
        <v>2045</v>
      </c>
      <c r="S334" s="7">
        <f t="shared" si="22"/>
        <v>41361.208333333336</v>
      </c>
      <c r="T334" s="8">
        <f t="shared" si="23"/>
        <v>41362.208333333336</v>
      </c>
    </row>
    <row r="335" spans="1:20" x14ac:dyDescent="0.3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20"/>
        <v>1.2395833333333333</v>
      </c>
      <c r="G335" t="s">
        <v>20</v>
      </c>
      <c r="H335">
        <v>253</v>
      </c>
      <c r="I335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">
        <v>2038</v>
      </c>
      <c r="R335" t="s">
        <v>2039</v>
      </c>
      <c r="S335" s="7">
        <f t="shared" si="22"/>
        <v>43424.25</v>
      </c>
      <c r="T335" s="8">
        <f t="shared" si="23"/>
        <v>43452.25</v>
      </c>
    </row>
    <row r="336" spans="1:20" x14ac:dyDescent="0.3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20"/>
        <v>1.8661329305135952</v>
      </c>
      <c r="G336" t="s">
        <v>20</v>
      </c>
      <c r="H336">
        <v>1113</v>
      </c>
      <c r="I336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">
        <v>2034</v>
      </c>
      <c r="R336" t="s">
        <v>2035</v>
      </c>
      <c r="S336" s="7">
        <f t="shared" si="22"/>
        <v>43110.25</v>
      </c>
      <c r="T336" s="8">
        <f t="shared" si="23"/>
        <v>43117.25</v>
      </c>
    </row>
    <row r="337" spans="1:20" x14ac:dyDescent="0.3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20"/>
        <v>1.1428538550057536</v>
      </c>
      <c r="G337" t="s">
        <v>20</v>
      </c>
      <c r="H337">
        <v>2283</v>
      </c>
      <c r="I337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">
        <v>2034</v>
      </c>
      <c r="R337" t="s">
        <v>2035</v>
      </c>
      <c r="S337" s="7">
        <f t="shared" si="22"/>
        <v>43784.25</v>
      </c>
      <c r="T337" s="8">
        <f t="shared" si="23"/>
        <v>43797.25</v>
      </c>
    </row>
    <row r="338" spans="1:20" x14ac:dyDescent="0.3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20"/>
        <v>0.97032531824611035</v>
      </c>
      <c r="G338" t="s">
        <v>14</v>
      </c>
      <c r="H338">
        <v>1072</v>
      </c>
      <c r="I338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">
        <v>2034</v>
      </c>
      <c r="R338" t="s">
        <v>2035</v>
      </c>
      <c r="S338" s="7">
        <f t="shared" si="22"/>
        <v>40527.25</v>
      </c>
      <c r="T338" s="8">
        <f t="shared" si="23"/>
        <v>40528.25</v>
      </c>
    </row>
    <row r="339" spans="1:20" x14ac:dyDescent="0.3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20"/>
        <v>1.2281904761904763</v>
      </c>
      <c r="G339" t="s">
        <v>20</v>
      </c>
      <c r="H339">
        <v>1095</v>
      </c>
      <c r="I339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">
        <v>2038</v>
      </c>
      <c r="R339" t="s">
        <v>2039</v>
      </c>
      <c r="S339" s="7">
        <f t="shared" si="22"/>
        <v>43780.25</v>
      </c>
      <c r="T339" s="8">
        <f t="shared" si="23"/>
        <v>43781.25</v>
      </c>
    </row>
    <row r="340" spans="1:20" x14ac:dyDescent="0.3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20"/>
        <v>1.7914326647564469</v>
      </c>
      <c r="G340" t="s">
        <v>20</v>
      </c>
      <c r="H340">
        <v>1690</v>
      </c>
      <c r="I340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">
        <v>2038</v>
      </c>
      <c r="R340" t="s">
        <v>2039</v>
      </c>
      <c r="S340" s="7">
        <f t="shared" si="22"/>
        <v>40821.208333333336</v>
      </c>
      <c r="T340" s="8">
        <f t="shared" si="23"/>
        <v>40851.208333333336</v>
      </c>
    </row>
    <row r="341" spans="1:20" x14ac:dyDescent="0.3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20"/>
        <v>0.79951577402787966</v>
      </c>
      <c r="G341" t="s">
        <v>74</v>
      </c>
      <c r="H341">
        <v>1297</v>
      </c>
      <c r="I341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">
        <v>2038</v>
      </c>
      <c r="R341" t="s">
        <v>2039</v>
      </c>
      <c r="S341" s="7">
        <f t="shared" si="22"/>
        <v>42949.208333333328</v>
      </c>
      <c r="T341" s="8">
        <f t="shared" si="23"/>
        <v>42963.208333333328</v>
      </c>
    </row>
    <row r="342" spans="1:20" x14ac:dyDescent="0.3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20"/>
        <v>0.94242587601078165</v>
      </c>
      <c r="G342" t="s">
        <v>14</v>
      </c>
      <c r="H342">
        <v>393</v>
      </c>
      <c r="I342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122</v>
      </c>
      <c r="Q342" t="s">
        <v>2053</v>
      </c>
      <c r="R342" t="s">
        <v>2054</v>
      </c>
      <c r="S342" s="7">
        <f t="shared" si="22"/>
        <v>40889.25</v>
      </c>
      <c r="T342" s="8">
        <f t="shared" si="23"/>
        <v>40890.25</v>
      </c>
    </row>
    <row r="343" spans="1:20" ht="31" x14ac:dyDescent="0.3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20"/>
        <v>0.84669291338582675</v>
      </c>
      <c r="G343" t="s">
        <v>14</v>
      </c>
      <c r="H343">
        <v>1257</v>
      </c>
      <c r="I343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60</v>
      </c>
      <c r="Q343" t="s">
        <v>2034</v>
      </c>
      <c r="R343" t="s">
        <v>2044</v>
      </c>
      <c r="S343" s="7">
        <f t="shared" si="22"/>
        <v>42244.208333333328</v>
      </c>
      <c r="T343" s="8">
        <f t="shared" si="23"/>
        <v>42251.208333333328</v>
      </c>
    </row>
    <row r="344" spans="1:20" x14ac:dyDescent="0.3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20"/>
        <v>0.66521920668058454</v>
      </c>
      <c r="G344" t="s">
        <v>14</v>
      </c>
      <c r="H344">
        <v>328</v>
      </c>
      <c r="I344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">
        <v>2038</v>
      </c>
      <c r="R344" t="s">
        <v>2039</v>
      </c>
      <c r="S344" s="7">
        <f t="shared" si="22"/>
        <v>41475.208333333336</v>
      </c>
      <c r="T344" s="8">
        <f t="shared" si="23"/>
        <v>41487.208333333336</v>
      </c>
    </row>
    <row r="345" spans="1:20" x14ac:dyDescent="0.3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20"/>
        <v>0.53922222222222227</v>
      </c>
      <c r="G345" t="s">
        <v>14</v>
      </c>
      <c r="H345">
        <v>147</v>
      </c>
      <c r="I345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">
        <v>2038</v>
      </c>
      <c r="R345" t="s">
        <v>2039</v>
      </c>
      <c r="S345" s="7">
        <f t="shared" si="22"/>
        <v>41597.25</v>
      </c>
      <c r="T345" s="8">
        <f t="shared" si="23"/>
        <v>41650.25</v>
      </c>
    </row>
    <row r="346" spans="1:20" x14ac:dyDescent="0.3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20"/>
        <v>0.41983299595141699</v>
      </c>
      <c r="G346" t="s">
        <v>14</v>
      </c>
      <c r="H346">
        <v>830</v>
      </c>
      <c r="I346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89</v>
      </c>
      <c r="Q346" t="s">
        <v>2049</v>
      </c>
      <c r="R346" t="s">
        <v>2050</v>
      </c>
      <c r="S346" s="7">
        <f t="shared" si="22"/>
        <v>43122.25</v>
      </c>
      <c r="T346" s="8">
        <f t="shared" si="23"/>
        <v>43162.25</v>
      </c>
    </row>
    <row r="347" spans="1:20" x14ac:dyDescent="0.3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20"/>
        <v>0.14694796954314721</v>
      </c>
      <c r="G347" t="s">
        <v>14</v>
      </c>
      <c r="H347">
        <v>331</v>
      </c>
      <c r="I347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">
        <v>2040</v>
      </c>
      <c r="R347" t="s">
        <v>2043</v>
      </c>
      <c r="S347" s="7">
        <f t="shared" si="22"/>
        <v>42194.208333333328</v>
      </c>
      <c r="T347" s="8">
        <f t="shared" si="23"/>
        <v>42195.208333333328</v>
      </c>
    </row>
    <row r="348" spans="1:20" x14ac:dyDescent="0.3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20"/>
        <v>0.34475</v>
      </c>
      <c r="G348" t="s">
        <v>14</v>
      </c>
      <c r="H348">
        <v>25</v>
      </c>
      <c r="I348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60</v>
      </c>
      <c r="Q348" t="s">
        <v>2034</v>
      </c>
      <c r="R348" t="s">
        <v>2044</v>
      </c>
      <c r="S348" s="7">
        <f t="shared" si="22"/>
        <v>42971.208333333328</v>
      </c>
      <c r="T348" s="8">
        <f t="shared" si="23"/>
        <v>43026.208333333328</v>
      </c>
    </row>
    <row r="349" spans="1:20" x14ac:dyDescent="0.3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20"/>
        <v>14.007777777777777</v>
      </c>
      <c r="G349" t="s">
        <v>20</v>
      </c>
      <c r="H349">
        <v>191</v>
      </c>
      <c r="I349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">
        <v>2036</v>
      </c>
      <c r="R349" t="s">
        <v>2037</v>
      </c>
      <c r="S349" s="7">
        <f t="shared" si="22"/>
        <v>42046.25</v>
      </c>
      <c r="T349" s="8">
        <f t="shared" si="23"/>
        <v>42070.25</v>
      </c>
    </row>
    <row r="350" spans="1:20" x14ac:dyDescent="0.3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20"/>
        <v>0.71770351758793971</v>
      </c>
      <c r="G350" t="s">
        <v>14</v>
      </c>
      <c r="H350">
        <v>3483</v>
      </c>
      <c r="I350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">
        <v>2032</v>
      </c>
      <c r="R350" t="s">
        <v>2033</v>
      </c>
      <c r="S350" s="7">
        <f t="shared" si="22"/>
        <v>42782.25</v>
      </c>
      <c r="T350" s="8">
        <f t="shared" si="23"/>
        <v>42795.25</v>
      </c>
    </row>
    <row r="351" spans="1:20" x14ac:dyDescent="0.3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20"/>
        <v>0.53074115044247783</v>
      </c>
      <c r="G351" t="s">
        <v>14</v>
      </c>
      <c r="H351">
        <v>923</v>
      </c>
      <c r="I351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">
        <v>2038</v>
      </c>
      <c r="R351" t="s">
        <v>2039</v>
      </c>
      <c r="S351" s="7">
        <f t="shared" si="22"/>
        <v>42930.208333333328</v>
      </c>
      <c r="T351" s="8">
        <f t="shared" si="23"/>
        <v>42960.208333333328</v>
      </c>
    </row>
    <row r="352" spans="1:20" x14ac:dyDescent="0.3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20"/>
        <v>0.05</v>
      </c>
      <c r="G352" t="s">
        <v>14</v>
      </c>
      <c r="H352">
        <v>1</v>
      </c>
      <c r="I352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159</v>
      </c>
      <c r="Q352" t="s">
        <v>2034</v>
      </c>
      <c r="R352" t="s">
        <v>2057</v>
      </c>
      <c r="S352" s="7">
        <f t="shared" si="22"/>
        <v>42144.208333333328</v>
      </c>
      <c r="T352" s="8">
        <f t="shared" si="23"/>
        <v>42162.208333333328</v>
      </c>
    </row>
    <row r="353" spans="1:20" x14ac:dyDescent="0.3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20"/>
        <v>1.2770715249662619</v>
      </c>
      <c r="G353" t="s">
        <v>20</v>
      </c>
      <c r="H353">
        <v>2013</v>
      </c>
      <c r="I353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">
        <v>2034</v>
      </c>
      <c r="R353" t="s">
        <v>2035</v>
      </c>
      <c r="S353" s="7">
        <f t="shared" si="22"/>
        <v>42240.208333333328</v>
      </c>
      <c r="T353" s="8">
        <f t="shared" si="23"/>
        <v>42254.208333333328</v>
      </c>
    </row>
    <row r="354" spans="1:20" x14ac:dyDescent="0.3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20"/>
        <v>0.34892857142857142</v>
      </c>
      <c r="G354" t="s">
        <v>14</v>
      </c>
      <c r="H354">
        <v>33</v>
      </c>
      <c r="I354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">
        <v>2038</v>
      </c>
      <c r="R354" t="s">
        <v>2039</v>
      </c>
      <c r="S354" s="7">
        <f t="shared" si="22"/>
        <v>42315.25</v>
      </c>
      <c r="T354" s="8">
        <f t="shared" si="23"/>
        <v>42323.25</v>
      </c>
    </row>
    <row r="355" spans="1:20" x14ac:dyDescent="0.3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20"/>
        <v>4.105982142857143</v>
      </c>
      <c r="G355" t="s">
        <v>20</v>
      </c>
      <c r="H355">
        <v>1703</v>
      </c>
      <c r="I355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">
        <v>2038</v>
      </c>
      <c r="R355" t="s">
        <v>2039</v>
      </c>
      <c r="S355" s="7">
        <f t="shared" si="22"/>
        <v>43651.208333333328</v>
      </c>
      <c r="T355" s="8">
        <f t="shared" si="23"/>
        <v>43652.208333333328</v>
      </c>
    </row>
    <row r="356" spans="1:20" x14ac:dyDescent="0.3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20"/>
        <v>1.2373770491803278</v>
      </c>
      <c r="G356" t="s">
        <v>20</v>
      </c>
      <c r="H356">
        <v>80</v>
      </c>
      <c r="I356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">
        <v>2040</v>
      </c>
      <c r="R356" t="s">
        <v>2041</v>
      </c>
      <c r="S356" s="7">
        <f t="shared" si="22"/>
        <v>41520.208333333336</v>
      </c>
      <c r="T356" s="8">
        <f t="shared" si="23"/>
        <v>41527.208333333336</v>
      </c>
    </row>
    <row r="357" spans="1:20" x14ac:dyDescent="0.3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20"/>
        <v>0.58973684210526311</v>
      </c>
      <c r="G357" t="s">
        <v>47</v>
      </c>
      <c r="H357">
        <v>86</v>
      </c>
      <c r="I357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65</v>
      </c>
      <c r="Q357" t="s">
        <v>2036</v>
      </c>
      <c r="R357" t="s">
        <v>2045</v>
      </c>
      <c r="S357" s="7">
        <f t="shared" si="22"/>
        <v>42757.25</v>
      </c>
      <c r="T357" s="8">
        <f t="shared" si="23"/>
        <v>42797.25</v>
      </c>
    </row>
    <row r="358" spans="1:20" x14ac:dyDescent="0.3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20"/>
        <v>0.36892473118279567</v>
      </c>
      <c r="G358" t="s">
        <v>14</v>
      </c>
      <c r="H358">
        <v>40</v>
      </c>
      <c r="I358">
        <f t="shared" si="2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">
        <v>2038</v>
      </c>
      <c r="R358" t="s">
        <v>2039</v>
      </c>
      <c r="S358" s="7">
        <f t="shared" si="22"/>
        <v>40922.25</v>
      </c>
      <c r="T358" s="8">
        <f t="shared" si="23"/>
        <v>40931.25</v>
      </c>
    </row>
    <row r="359" spans="1:20" x14ac:dyDescent="0.3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20"/>
        <v>1.8491304347826087</v>
      </c>
      <c r="G359" t="s">
        <v>20</v>
      </c>
      <c r="H359">
        <v>41</v>
      </c>
      <c r="I359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89</v>
      </c>
      <c r="Q359" t="s">
        <v>2049</v>
      </c>
      <c r="R359" t="s">
        <v>2050</v>
      </c>
      <c r="S359" s="7">
        <f t="shared" si="22"/>
        <v>42250.208333333328</v>
      </c>
      <c r="T359" s="8">
        <f t="shared" si="23"/>
        <v>42275.208333333328</v>
      </c>
    </row>
    <row r="360" spans="1:20" x14ac:dyDescent="0.3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20"/>
        <v>0.11814432989690722</v>
      </c>
      <c r="G360" t="s">
        <v>14</v>
      </c>
      <c r="H360">
        <v>23</v>
      </c>
      <c r="I360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122</v>
      </c>
      <c r="Q360" t="s">
        <v>2053</v>
      </c>
      <c r="R360" t="s">
        <v>2054</v>
      </c>
      <c r="S360" s="7">
        <f t="shared" si="22"/>
        <v>43322.208333333328</v>
      </c>
      <c r="T360" s="8">
        <f t="shared" si="23"/>
        <v>43325.208333333328</v>
      </c>
    </row>
    <row r="361" spans="1:20" x14ac:dyDescent="0.3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20"/>
        <v>2.9870000000000001</v>
      </c>
      <c r="G361" t="s">
        <v>20</v>
      </c>
      <c r="H361">
        <v>187</v>
      </c>
      <c r="I361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71</v>
      </c>
      <c r="Q361" t="s">
        <v>2040</v>
      </c>
      <c r="R361" t="s">
        <v>2048</v>
      </c>
      <c r="S361" s="7">
        <f t="shared" si="22"/>
        <v>40782.208333333336</v>
      </c>
      <c r="T361" s="8">
        <f t="shared" si="23"/>
        <v>40789.208333333336</v>
      </c>
    </row>
    <row r="362" spans="1:20" x14ac:dyDescent="0.3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20"/>
        <v>2.2635175879396985</v>
      </c>
      <c r="G362" t="s">
        <v>20</v>
      </c>
      <c r="H362">
        <v>2875</v>
      </c>
      <c r="I362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">
        <v>2038</v>
      </c>
      <c r="R362" t="s">
        <v>2039</v>
      </c>
      <c r="S362" s="7">
        <f t="shared" si="22"/>
        <v>40544.25</v>
      </c>
      <c r="T362" s="8">
        <f t="shared" si="23"/>
        <v>40558.25</v>
      </c>
    </row>
    <row r="363" spans="1:20" x14ac:dyDescent="0.3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20"/>
        <v>1.7356363636363636</v>
      </c>
      <c r="G363" t="s">
        <v>20</v>
      </c>
      <c r="H363">
        <v>88</v>
      </c>
      <c r="I363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">
        <v>2038</v>
      </c>
      <c r="R363" t="s">
        <v>2039</v>
      </c>
      <c r="S363" s="7">
        <f t="shared" si="22"/>
        <v>43015.208333333328</v>
      </c>
      <c r="T363" s="8">
        <f t="shared" si="23"/>
        <v>43039.208333333328</v>
      </c>
    </row>
    <row r="364" spans="1:20" x14ac:dyDescent="0.3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20"/>
        <v>3.7175675675675675</v>
      </c>
      <c r="G364" t="s">
        <v>20</v>
      </c>
      <c r="H364">
        <v>191</v>
      </c>
      <c r="I364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">
        <v>2034</v>
      </c>
      <c r="R364" t="s">
        <v>2035</v>
      </c>
      <c r="S364" s="7">
        <f t="shared" si="22"/>
        <v>40570.25</v>
      </c>
      <c r="T364" s="8">
        <f t="shared" si="23"/>
        <v>40608.25</v>
      </c>
    </row>
    <row r="365" spans="1:20" x14ac:dyDescent="0.3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20"/>
        <v>1.601923076923077</v>
      </c>
      <c r="G365" t="s">
        <v>20</v>
      </c>
      <c r="H365">
        <v>139</v>
      </c>
      <c r="I365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">
        <v>2034</v>
      </c>
      <c r="R365" t="s">
        <v>2035</v>
      </c>
      <c r="S365" s="7">
        <f t="shared" si="22"/>
        <v>40904.25</v>
      </c>
      <c r="T365" s="8">
        <f t="shared" si="23"/>
        <v>40905.25</v>
      </c>
    </row>
    <row r="366" spans="1:20" x14ac:dyDescent="0.3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20"/>
        <v>16.163333333333334</v>
      </c>
      <c r="G366" t="s">
        <v>20</v>
      </c>
      <c r="H366">
        <v>186</v>
      </c>
      <c r="I366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60</v>
      </c>
      <c r="Q366" t="s">
        <v>2034</v>
      </c>
      <c r="R366" t="s">
        <v>2044</v>
      </c>
      <c r="S366" s="7">
        <f t="shared" si="22"/>
        <v>43164.25</v>
      </c>
      <c r="T366" s="8">
        <f t="shared" si="23"/>
        <v>43194.208333333328</v>
      </c>
    </row>
    <row r="367" spans="1:20" x14ac:dyDescent="0.3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20"/>
        <v>7.3343749999999996</v>
      </c>
      <c r="G367" t="s">
        <v>20</v>
      </c>
      <c r="H367">
        <v>112</v>
      </c>
      <c r="I367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">
        <v>2038</v>
      </c>
      <c r="R367" t="s">
        <v>2039</v>
      </c>
      <c r="S367" s="7">
        <f t="shared" si="22"/>
        <v>42733.25</v>
      </c>
      <c r="T367" s="8">
        <f t="shared" si="23"/>
        <v>42760.25</v>
      </c>
    </row>
    <row r="368" spans="1:20" x14ac:dyDescent="0.3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20"/>
        <v>5.9211111111111112</v>
      </c>
      <c r="G368" t="s">
        <v>20</v>
      </c>
      <c r="H368">
        <v>101</v>
      </c>
      <c r="I368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">
        <v>2038</v>
      </c>
      <c r="R368" t="s">
        <v>2039</v>
      </c>
      <c r="S368" s="7">
        <f t="shared" si="22"/>
        <v>40546.25</v>
      </c>
      <c r="T368" s="8">
        <f t="shared" si="23"/>
        <v>40547.25</v>
      </c>
    </row>
    <row r="369" spans="1:20" x14ac:dyDescent="0.3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20"/>
        <v>0.18888888888888888</v>
      </c>
      <c r="G369" t="s">
        <v>14</v>
      </c>
      <c r="H369">
        <v>75</v>
      </c>
      <c r="I369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">
        <v>2038</v>
      </c>
      <c r="R369" t="s">
        <v>2039</v>
      </c>
      <c r="S369" s="7">
        <f t="shared" si="22"/>
        <v>41930.208333333336</v>
      </c>
      <c r="T369" s="8">
        <f t="shared" si="23"/>
        <v>41954.25</v>
      </c>
    </row>
    <row r="370" spans="1:20" x14ac:dyDescent="0.3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20"/>
        <v>2.7680769230769231</v>
      </c>
      <c r="G370" t="s">
        <v>20</v>
      </c>
      <c r="H370">
        <v>206</v>
      </c>
      <c r="I370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">
        <v>2040</v>
      </c>
      <c r="R370" t="s">
        <v>2041</v>
      </c>
      <c r="S370" s="7">
        <f t="shared" si="22"/>
        <v>40464.208333333336</v>
      </c>
      <c r="T370" s="8">
        <f t="shared" si="23"/>
        <v>40487.208333333336</v>
      </c>
    </row>
    <row r="371" spans="1:20" x14ac:dyDescent="0.3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20"/>
        <v>2.730185185185185</v>
      </c>
      <c r="G371" t="s">
        <v>20</v>
      </c>
      <c r="H371">
        <v>154</v>
      </c>
      <c r="I371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269</v>
      </c>
      <c r="Q371" t="s">
        <v>2040</v>
      </c>
      <c r="R371" t="s">
        <v>2059</v>
      </c>
      <c r="S371" s="7">
        <f t="shared" si="22"/>
        <v>41308.25</v>
      </c>
      <c r="T371" s="8">
        <f t="shared" si="23"/>
        <v>41347.208333333336</v>
      </c>
    </row>
    <row r="372" spans="1:20" x14ac:dyDescent="0.3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20"/>
        <v>1.593633125556545</v>
      </c>
      <c r="G372" t="s">
        <v>20</v>
      </c>
      <c r="H372">
        <v>5966</v>
      </c>
      <c r="I372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">
        <v>2038</v>
      </c>
      <c r="R372" t="s">
        <v>2039</v>
      </c>
      <c r="S372" s="7">
        <f t="shared" si="22"/>
        <v>43570.208333333328</v>
      </c>
      <c r="T372" s="8">
        <f t="shared" si="23"/>
        <v>43576.208333333328</v>
      </c>
    </row>
    <row r="373" spans="1:20" x14ac:dyDescent="0.3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20"/>
        <v>0.67869978858350954</v>
      </c>
      <c r="G373" t="s">
        <v>14</v>
      </c>
      <c r="H373">
        <v>2176</v>
      </c>
      <c r="I373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">
        <v>2038</v>
      </c>
      <c r="R373" t="s">
        <v>2039</v>
      </c>
      <c r="S373" s="7">
        <f t="shared" si="22"/>
        <v>42043.25</v>
      </c>
      <c r="T373" s="8">
        <f t="shared" si="23"/>
        <v>42094.208333333328</v>
      </c>
    </row>
    <row r="374" spans="1:20" ht="31" x14ac:dyDescent="0.3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20"/>
        <v>15.915555555555555</v>
      </c>
      <c r="G374" t="s">
        <v>20</v>
      </c>
      <c r="H374">
        <v>169</v>
      </c>
      <c r="I374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">
        <v>2040</v>
      </c>
      <c r="R374" t="s">
        <v>2041</v>
      </c>
      <c r="S374" s="7">
        <f t="shared" si="22"/>
        <v>42012.25</v>
      </c>
      <c r="T374" s="8">
        <f t="shared" si="23"/>
        <v>42032.25</v>
      </c>
    </row>
    <row r="375" spans="1:20" x14ac:dyDescent="0.3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20"/>
        <v>7.3018222222222224</v>
      </c>
      <c r="G375" t="s">
        <v>20</v>
      </c>
      <c r="H375">
        <v>2106</v>
      </c>
      <c r="I375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">
        <v>2038</v>
      </c>
      <c r="R375" t="s">
        <v>2039</v>
      </c>
      <c r="S375" s="7">
        <f t="shared" si="22"/>
        <v>42964.208333333328</v>
      </c>
      <c r="T375" s="8">
        <f t="shared" si="23"/>
        <v>42972.208333333328</v>
      </c>
    </row>
    <row r="376" spans="1:20" ht="31" x14ac:dyDescent="0.3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20"/>
        <v>0.13185782556750297</v>
      </c>
      <c r="G376" t="s">
        <v>14</v>
      </c>
      <c r="H376">
        <v>441</v>
      </c>
      <c r="I376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">
        <v>2040</v>
      </c>
      <c r="R376" t="s">
        <v>2041</v>
      </c>
      <c r="S376" s="7">
        <f t="shared" si="22"/>
        <v>43476.25</v>
      </c>
      <c r="T376" s="8">
        <f t="shared" si="23"/>
        <v>43481.25</v>
      </c>
    </row>
    <row r="377" spans="1:20" ht="31" x14ac:dyDescent="0.3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20"/>
        <v>0.54777777777777781</v>
      </c>
      <c r="G377" t="s">
        <v>14</v>
      </c>
      <c r="H377">
        <v>25</v>
      </c>
      <c r="I377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60</v>
      </c>
      <c r="Q377" t="s">
        <v>2034</v>
      </c>
      <c r="R377" t="s">
        <v>2044</v>
      </c>
      <c r="S377" s="7">
        <f t="shared" si="22"/>
        <v>42293.208333333328</v>
      </c>
      <c r="T377" s="8">
        <f t="shared" si="23"/>
        <v>42350.25</v>
      </c>
    </row>
    <row r="378" spans="1:20" x14ac:dyDescent="0.3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20"/>
        <v>3.6102941176470589</v>
      </c>
      <c r="G378" t="s">
        <v>20</v>
      </c>
      <c r="H378">
        <v>131</v>
      </c>
      <c r="I378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">
        <v>2034</v>
      </c>
      <c r="R378" t="s">
        <v>2035</v>
      </c>
      <c r="S378" s="7">
        <f t="shared" si="22"/>
        <v>41826.208333333336</v>
      </c>
      <c r="T378" s="8">
        <f t="shared" si="23"/>
        <v>41832.208333333336</v>
      </c>
    </row>
    <row r="379" spans="1:20" x14ac:dyDescent="0.3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20"/>
        <v>0.10257545271629778</v>
      </c>
      <c r="G379" t="s">
        <v>14</v>
      </c>
      <c r="H379">
        <v>127</v>
      </c>
      <c r="I379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">
        <v>2038</v>
      </c>
      <c r="R379" t="s">
        <v>2039</v>
      </c>
      <c r="S379" s="7">
        <f t="shared" si="22"/>
        <v>43760.208333333328</v>
      </c>
      <c r="T379" s="8">
        <f t="shared" si="23"/>
        <v>43774.25</v>
      </c>
    </row>
    <row r="380" spans="1:20" x14ac:dyDescent="0.3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20"/>
        <v>0.13962962962962963</v>
      </c>
      <c r="G380" t="s">
        <v>14</v>
      </c>
      <c r="H380">
        <v>355</v>
      </c>
      <c r="I380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">
        <v>2040</v>
      </c>
      <c r="R380" t="s">
        <v>2041</v>
      </c>
      <c r="S380" s="7">
        <f t="shared" si="22"/>
        <v>43241.208333333328</v>
      </c>
      <c r="T380" s="8">
        <f t="shared" si="23"/>
        <v>43279.208333333328</v>
      </c>
    </row>
    <row r="381" spans="1:20" x14ac:dyDescent="0.3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20"/>
        <v>0.40444444444444444</v>
      </c>
      <c r="G381" t="s">
        <v>14</v>
      </c>
      <c r="H381">
        <v>44</v>
      </c>
      <c r="I381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">
        <v>2038</v>
      </c>
      <c r="R381" t="s">
        <v>2039</v>
      </c>
      <c r="S381" s="7">
        <f t="shared" si="22"/>
        <v>40843.208333333336</v>
      </c>
      <c r="T381" s="8">
        <f t="shared" si="23"/>
        <v>40857.25</v>
      </c>
    </row>
    <row r="382" spans="1:20" ht="31" x14ac:dyDescent="0.3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20"/>
        <v>1.6032</v>
      </c>
      <c r="G382" t="s">
        <v>20</v>
      </c>
      <c r="H382">
        <v>84</v>
      </c>
      <c r="I382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">
        <v>2038</v>
      </c>
      <c r="R382" t="s">
        <v>2039</v>
      </c>
      <c r="S382" s="7">
        <f t="shared" si="22"/>
        <v>41448.208333333336</v>
      </c>
      <c r="T382" s="8">
        <f t="shared" si="23"/>
        <v>41453.208333333336</v>
      </c>
    </row>
    <row r="383" spans="1:20" x14ac:dyDescent="0.3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20"/>
        <v>1.8394339622641509</v>
      </c>
      <c r="G383" t="s">
        <v>20</v>
      </c>
      <c r="H383">
        <v>155</v>
      </c>
      <c r="I383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">
        <v>2038</v>
      </c>
      <c r="R383" t="s">
        <v>2039</v>
      </c>
      <c r="S383" s="7">
        <f t="shared" si="22"/>
        <v>42163.208333333328</v>
      </c>
      <c r="T383" s="8">
        <f t="shared" si="23"/>
        <v>42209.208333333328</v>
      </c>
    </row>
    <row r="384" spans="1:20" ht="31" x14ac:dyDescent="0.3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20"/>
        <v>0.63769230769230767</v>
      </c>
      <c r="G384" t="s">
        <v>14</v>
      </c>
      <c r="H384">
        <v>67</v>
      </c>
      <c r="I384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122</v>
      </c>
      <c r="Q384" t="s">
        <v>2053</v>
      </c>
      <c r="R384" t="s">
        <v>2054</v>
      </c>
      <c r="S384" s="7">
        <f t="shared" si="22"/>
        <v>43024.208333333328</v>
      </c>
      <c r="T384" s="8">
        <f t="shared" si="23"/>
        <v>43043.208333333328</v>
      </c>
    </row>
    <row r="385" spans="1:20" x14ac:dyDescent="0.3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20"/>
        <v>2.2538095238095237</v>
      </c>
      <c r="G385" t="s">
        <v>20</v>
      </c>
      <c r="H385">
        <v>189</v>
      </c>
      <c r="I385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">
        <v>2032</v>
      </c>
      <c r="R385" t="s">
        <v>2033</v>
      </c>
      <c r="S385" s="7">
        <f t="shared" si="22"/>
        <v>43509.25</v>
      </c>
      <c r="T385" s="8">
        <f t="shared" si="23"/>
        <v>43515.25</v>
      </c>
    </row>
    <row r="386" spans="1:20" x14ac:dyDescent="0.3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20"/>
        <v>1.7200961538461539</v>
      </c>
      <c r="G386" t="s">
        <v>20</v>
      </c>
      <c r="H386">
        <v>4799</v>
      </c>
      <c r="I386">
        <f t="shared" si="2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">
        <v>2040</v>
      </c>
      <c r="R386" t="s">
        <v>2041</v>
      </c>
      <c r="S386" s="7">
        <f t="shared" si="22"/>
        <v>42776.25</v>
      </c>
      <c r="T386" s="8">
        <f t="shared" si="23"/>
        <v>42803.25</v>
      </c>
    </row>
    <row r="387" spans="1:20" ht="31" x14ac:dyDescent="0.3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ref="F387:F450" si="24">E387/D387</f>
        <v>1.4616709511568124</v>
      </c>
      <c r="G387" t="s">
        <v>20</v>
      </c>
      <c r="H387">
        <v>1137</v>
      </c>
      <c r="I387">
        <f t="shared" ref="I387:I450" si="25">IFERROR(E387/H387, "0")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68</v>
      </c>
      <c r="Q387" t="s">
        <v>2046</v>
      </c>
      <c r="R387" t="s">
        <v>2047</v>
      </c>
      <c r="S387" s="7">
        <f t="shared" ref="S387:S450" si="26">(((L387/60)/60)/24)+DATE(1970,1,1)</f>
        <v>43553.208333333328</v>
      </c>
      <c r="T387" s="8">
        <f t="shared" ref="T387:T450" si="27">(((M387/60)/60)/24)+DATE(1970,1,1)</f>
        <v>43585.208333333328</v>
      </c>
    </row>
    <row r="388" spans="1:20" ht="31" x14ac:dyDescent="0.3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si="24"/>
        <v>0.76423616236162362</v>
      </c>
      <c r="G388" t="s">
        <v>14</v>
      </c>
      <c r="H388">
        <v>1068</v>
      </c>
      <c r="I388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">
        <v>2038</v>
      </c>
      <c r="R388" t="s">
        <v>2039</v>
      </c>
      <c r="S388" s="7">
        <f t="shared" si="26"/>
        <v>40355.208333333336</v>
      </c>
      <c r="T388" s="8">
        <f t="shared" si="27"/>
        <v>40367.208333333336</v>
      </c>
    </row>
    <row r="389" spans="1:20" x14ac:dyDescent="0.3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24"/>
        <v>0.39261467889908258</v>
      </c>
      <c r="G389" t="s">
        <v>14</v>
      </c>
      <c r="H389">
        <v>424</v>
      </c>
      <c r="I389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65</v>
      </c>
      <c r="Q389" t="s">
        <v>2036</v>
      </c>
      <c r="R389" t="s">
        <v>2045</v>
      </c>
      <c r="S389" s="7">
        <f t="shared" si="26"/>
        <v>41072.208333333336</v>
      </c>
      <c r="T389" s="8">
        <f t="shared" si="27"/>
        <v>41077.208333333336</v>
      </c>
    </row>
    <row r="390" spans="1:20" x14ac:dyDescent="0.3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24"/>
        <v>0.11270034843205574</v>
      </c>
      <c r="G390" t="s">
        <v>74</v>
      </c>
      <c r="H390">
        <v>145</v>
      </c>
      <c r="I390">
        <f t="shared" si="25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t="b">
        <v>0</v>
      </c>
      <c r="O390" t="b">
        <v>0</v>
      </c>
      <c r="P390" t="s">
        <v>60</v>
      </c>
      <c r="Q390" t="s">
        <v>2034</v>
      </c>
      <c r="R390" t="s">
        <v>2044</v>
      </c>
      <c r="S390" s="7">
        <f t="shared" si="26"/>
        <v>40912.25</v>
      </c>
      <c r="T390" s="8">
        <f t="shared" si="27"/>
        <v>40914.25</v>
      </c>
    </row>
    <row r="391" spans="1:20" x14ac:dyDescent="0.3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24"/>
        <v>1.2211084337349398</v>
      </c>
      <c r="G391" t="s">
        <v>20</v>
      </c>
      <c r="H391">
        <v>1152</v>
      </c>
      <c r="I391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">
        <v>2038</v>
      </c>
      <c r="R391" t="s">
        <v>2039</v>
      </c>
      <c r="S391" s="7">
        <f t="shared" si="26"/>
        <v>40479.208333333336</v>
      </c>
      <c r="T391" s="8">
        <f t="shared" si="27"/>
        <v>40506.25</v>
      </c>
    </row>
    <row r="392" spans="1:20" x14ac:dyDescent="0.3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24"/>
        <v>1.8654166666666667</v>
      </c>
      <c r="G392" t="s">
        <v>20</v>
      </c>
      <c r="H392">
        <v>50</v>
      </c>
      <c r="I392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122</v>
      </c>
      <c r="Q392" t="s">
        <v>2053</v>
      </c>
      <c r="R392" t="s">
        <v>2054</v>
      </c>
      <c r="S392" s="7">
        <f t="shared" si="26"/>
        <v>41530.208333333336</v>
      </c>
      <c r="T392" s="8">
        <f t="shared" si="27"/>
        <v>41545.208333333336</v>
      </c>
    </row>
    <row r="393" spans="1:20" x14ac:dyDescent="0.3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24"/>
        <v>7.27317880794702E-2</v>
      </c>
      <c r="G393" t="s">
        <v>14</v>
      </c>
      <c r="H393">
        <v>151</v>
      </c>
      <c r="I393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68</v>
      </c>
      <c r="Q393" t="s">
        <v>2046</v>
      </c>
      <c r="R393" t="s">
        <v>2047</v>
      </c>
      <c r="S393" s="7">
        <f t="shared" si="26"/>
        <v>41653.25</v>
      </c>
      <c r="T393" s="8">
        <f t="shared" si="27"/>
        <v>41655.25</v>
      </c>
    </row>
    <row r="394" spans="1:20" ht="31" x14ac:dyDescent="0.3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24"/>
        <v>0.65642371234207963</v>
      </c>
      <c r="G394" t="s">
        <v>14</v>
      </c>
      <c r="H394">
        <v>1608</v>
      </c>
      <c r="I394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65</v>
      </c>
      <c r="Q394" t="s">
        <v>2036</v>
      </c>
      <c r="R394" t="s">
        <v>2045</v>
      </c>
      <c r="S394" s="7">
        <f t="shared" si="26"/>
        <v>40549.25</v>
      </c>
      <c r="T394" s="8">
        <f t="shared" si="27"/>
        <v>40551.25</v>
      </c>
    </row>
    <row r="395" spans="1:20" x14ac:dyDescent="0.3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24"/>
        <v>2.2896178343949045</v>
      </c>
      <c r="G395" t="s">
        <v>20</v>
      </c>
      <c r="H395">
        <v>3059</v>
      </c>
      <c r="I395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159</v>
      </c>
      <c r="Q395" t="s">
        <v>2034</v>
      </c>
      <c r="R395" t="s">
        <v>2057</v>
      </c>
      <c r="S395" s="7">
        <f t="shared" si="26"/>
        <v>42933.208333333328</v>
      </c>
      <c r="T395" s="8">
        <f t="shared" si="27"/>
        <v>42934.208333333328</v>
      </c>
    </row>
    <row r="396" spans="1:20" x14ac:dyDescent="0.3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24"/>
        <v>4.6937499999999996</v>
      </c>
      <c r="G396" t="s">
        <v>20</v>
      </c>
      <c r="H396">
        <v>34</v>
      </c>
      <c r="I396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">
        <v>2040</v>
      </c>
      <c r="R396" t="s">
        <v>2041</v>
      </c>
      <c r="S396" s="7">
        <f t="shared" si="26"/>
        <v>41484.208333333336</v>
      </c>
      <c r="T396" s="8">
        <f t="shared" si="27"/>
        <v>41494.208333333336</v>
      </c>
    </row>
    <row r="397" spans="1:20" ht="31" x14ac:dyDescent="0.3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24"/>
        <v>1.3011267605633803</v>
      </c>
      <c r="G397" t="s">
        <v>20</v>
      </c>
      <c r="H397">
        <v>220</v>
      </c>
      <c r="I397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">
        <v>2038</v>
      </c>
      <c r="R397" t="s">
        <v>2039</v>
      </c>
      <c r="S397" s="7">
        <f t="shared" si="26"/>
        <v>40885.25</v>
      </c>
      <c r="T397" s="8">
        <f t="shared" si="27"/>
        <v>40886.25</v>
      </c>
    </row>
    <row r="398" spans="1:20" x14ac:dyDescent="0.3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24"/>
        <v>1.6705422993492407</v>
      </c>
      <c r="G398" t="s">
        <v>20</v>
      </c>
      <c r="H398">
        <v>1604</v>
      </c>
      <c r="I398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">
        <v>2040</v>
      </c>
      <c r="R398" t="s">
        <v>2043</v>
      </c>
      <c r="S398" s="7">
        <f t="shared" si="26"/>
        <v>43378.208333333328</v>
      </c>
      <c r="T398" s="8">
        <f t="shared" si="27"/>
        <v>43386.208333333328</v>
      </c>
    </row>
    <row r="399" spans="1:20" x14ac:dyDescent="0.3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24"/>
        <v>1.738641975308642</v>
      </c>
      <c r="G399" t="s">
        <v>20</v>
      </c>
      <c r="H399">
        <v>454</v>
      </c>
      <c r="I399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">
        <v>2034</v>
      </c>
      <c r="R399" t="s">
        <v>2035</v>
      </c>
      <c r="S399" s="7">
        <f t="shared" si="26"/>
        <v>41417.208333333336</v>
      </c>
      <c r="T399" s="8">
        <f t="shared" si="27"/>
        <v>41423.208333333336</v>
      </c>
    </row>
    <row r="400" spans="1:20" ht="31" x14ac:dyDescent="0.3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24"/>
        <v>7.1776470588235295</v>
      </c>
      <c r="G400" t="s">
        <v>20</v>
      </c>
      <c r="H400">
        <v>123</v>
      </c>
      <c r="I400">
        <f t="shared" si="25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t="b">
        <v>0</v>
      </c>
      <c r="O400" t="b">
        <v>1</v>
      </c>
      <c r="P400" t="s">
        <v>71</v>
      </c>
      <c r="Q400" t="s">
        <v>2040</v>
      </c>
      <c r="R400" t="s">
        <v>2048</v>
      </c>
      <c r="S400" s="7">
        <f t="shared" si="26"/>
        <v>43228.208333333328</v>
      </c>
      <c r="T400" s="8">
        <f t="shared" si="27"/>
        <v>43230.208333333328</v>
      </c>
    </row>
    <row r="401" spans="1:20" x14ac:dyDescent="0.3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24"/>
        <v>0.63850976361767731</v>
      </c>
      <c r="G401" t="s">
        <v>14</v>
      </c>
      <c r="H401">
        <v>941</v>
      </c>
      <c r="I401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60</v>
      </c>
      <c r="Q401" t="s">
        <v>2034</v>
      </c>
      <c r="R401" t="s">
        <v>2044</v>
      </c>
      <c r="S401" s="7">
        <f t="shared" si="26"/>
        <v>40576.25</v>
      </c>
      <c r="T401" s="8">
        <f t="shared" si="27"/>
        <v>40583.25</v>
      </c>
    </row>
    <row r="402" spans="1:20" ht="31" x14ac:dyDescent="0.3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24"/>
        <v>0.02</v>
      </c>
      <c r="G402" t="s">
        <v>14</v>
      </c>
      <c r="H402">
        <v>1</v>
      </c>
      <c r="I402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122</v>
      </c>
      <c r="Q402" t="s">
        <v>2053</v>
      </c>
      <c r="R402" t="s">
        <v>2054</v>
      </c>
      <c r="S402" s="7">
        <f t="shared" si="26"/>
        <v>41502.208333333336</v>
      </c>
      <c r="T402" s="8">
        <f t="shared" si="27"/>
        <v>41524.208333333336</v>
      </c>
    </row>
    <row r="403" spans="1:20" x14ac:dyDescent="0.3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24"/>
        <v>15.302222222222222</v>
      </c>
      <c r="G403" t="s">
        <v>20</v>
      </c>
      <c r="H403">
        <v>299</v>
      </c>
      <c r="I403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">
        <v>2038</v>
      </c>
      <c r="R403" t="s">
        <v>2039</v>
      </c>
      <c r="S403" s="7">
        <f t="shared" si="26"/>
        <v>43765.208333333328</v>
      </c>
      <c r="T403" s="8">
        <f t="shared" si="27"/>
        <v>43765.208333333328</v>
      </c>
    </row>
    <row r="404" spans="1:20" x14ac:dyDescent="0.3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24"/>
        <v>0.40356164383561643</v>
      </c>
      <c r="G404" t="s">
        <v>14</v>
      </c>
      <c r="H404">
        <v>40</v>
      </c>
      <c r="I404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100</v>
      </c>
      <c r="Q404" t="s">
        <v>2040</v>
      </c>
      <c r="R404" t="s">
        <v>2051</v>
      </c>
      <c r="S404" s="7">
        <f t="shared" si="26"/>
        <v>40914.25</v>
      </c>
      <c r="T404" s="8">
        <f t="shared" si="27"/>
        <v>40961.25</v>
      </c>
    </row>
    <row r="405" spans="1:20" x14ac:dyDescent="0.3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24"/>
        <v>0.86220633299284988</v>
      </c>
      <c r="G405" t="s">
        <v>14</v>
      </c>
      <c r="H405">
        <v>3015</v>
      </c>
      <c r="I405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">
        <v>2038</v>
      </c>
      <c r="R405" t="s">
        <v>2039</v>
      </c>
      <c r="S405" s="7">
        <f t="shared" si="26"/>
        <v>40310.208333333336</v>
      </c>
      <c r="T405" s="8">
        <f t="shared" si="27"/>
        <v>40346.208333333336</v>
      </c>
    </row>
    <row r="406" spans="1:20" x14ac:dyDescent="0.3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24"/>
        <v>3.1558486707566464</v>
      </c>
      <c r="G406" t="s">
        <v>20</v>
      </c>
      <c r="H406">
        <v>2237</v>
      </c>
      <c r="I406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">
        <v>2038</v>
      </c>
      <c r="R406" t="s">
        <v>2039</v>
      </c>
      <c r="S406" s="7">
        <f t="shared" si="26"/>
        <v>43053.25</v>
      </c>
      <c r="T406" s="8">
        <f t="shared" si="27"/>
        <v>43056.25</v>
      </c>
    </row>
    <row r="407" spans="1:20" x14ac:dyDescent="0.3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24"/>
        <v>0.89618243243243245</v>
      </c>
      <c r="G407" t="s">
        <v>14</v>
      </c>
      <c r="H407">
        <v>435</v>
      </c>
      <c r="I407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">
        <v>2038</v>
      </c>
      <c r="R407" t="s">
        <v>2039</v>
      </c>
      <c r="S407" s="7">
        <f t="shared" si="26"/>
        <v>43255.208333333328</v>
      </c>
      <c r="T407" s="8">
        <f t="shared" si="27"/>
        <v>43305.208333333328</v>
      </c>
    </row>
    <row r="408" spans="1:20" x14ac:dyDescent="0.3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24"/>
        <v>1.8214503816793892</v>
      </c>
      <c r="G408" t="s">
        <v>20</v>
      </c>
      <c r="H408">
        <v>645</v>
      </c>
      <c r="I408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">
        <v>2040</v>
      </c>
      <c r="R408" t="s">
        <v>2041</v>
      </c>
      <c r="S408" s="7">
        <f t="shared" si="26"/>
        <v>41304.25</v>
      </c>
      <c r="T408" s="8">
        <f t="shared" si="27"/>
        <v>41316.25</v>
      </c>
    </row>
    <row r="409" spans="1:20" x14ac:dyDescent="0.3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24"/>
        <v>3.5588235294117645</v>
      </c>
      <c r="G409" t="s">
        <v>20</v>
      </c>
      <c r="H409">
        <v>484</v>
      </c>
      <c r="I409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">
        <v>2038</v>
      </c>
      <c r="R409" t="s">
        <v>2039</v>
      </c>
      <c r="S409" s="7">
        <f t="shared" si="26"/>
        <v>43751.208333333328</v>
      </c>
      <c r="T409" s="8">
        <f t="shared" si="27"/>
        <v>43758.208333333328</v>
      </c>
    </row>
    <row r="410" spans="1:20" x14ac:dyDescent="0.3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24"/>
        <v>1.3183695652173912</v>
      </c>
      <c r="G410" t="s">
        <v>20</v>
      </c>
      <c r="H410">
        <v>154</v>
      </c>
      <c r="I410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">
        <v>2040</v>
      </c>
      <c r="R410" t="s">
        <v>2041</v>
      </c>
      <c r="S410" s="7">
        <f t="shared" si="26"/>
        <v>42541.208333333328</v>
      </c>
      <c r="T410" s="8">
        <f t="shared" si="27"/>
        <v>42561.208333333328</v>
      </c>
    </row>
    <row r="411" spans="1:20" x14ac:dyDescent="0.3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24"/>
        <v>0.46315634218289087</v>
      </c>
      <c r="G411" t="s">
        <v>14</v>
      </c>
      <c r="H411">
        <v>714</v>
      </c>
      <c r="I411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">
        <v>2034</v>
      </c>
      <c r="R411" t="s">
        <v>2035</v>
      </c>
      <c r="S411" s="7">
        <f t="shared" si="26"/>
        <v>42843.208333333328</v>
      </c>
      <c r="T411" s="8">
        <f t="shared" si="27"/>
        <v>42847.208333333328</v>
      </c>
    </row>
    <row r="412" spans="1:20" x14ac:dyDescent="0.3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24"/>
        <v>0.36132726089785294</v>
      </c>
      <c r="G412" t="s">
        <v>47</v>
      </c>
      <c r="H412">
        <v>1111</v>
      </c>
      <c r="I412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292</v>
      </c>
      <c r="Q412" t="s">
        <v>2049</v>
      </c>
      <c r="R412" t="s">
        <v>2060</v>
      </c>
      <c r="S412" s="7">
        <f t="shared" si="26"/>
        <v>42122.208333333328</v>
      </c>
      <c r="T412" s="8">
        <f t="shared" si="27"/>
        <v>42122.208333333328</v>
      </c>
    </row>
    <row r="413" spans="1:20" x14ac:dyDescent="0.3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24"/>
        <v>1.0462820512820512</v>
      </c>
      <c r="G413" t="s">
        <v>20</v>
      </c>
      <c r="H413">
        <v>82</v>
      </c>
      <c r="I413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">
        <v>2038</v>
      </c>
      <c r="R413" t="s">
        <v>2039</v>
      </c>
      <c r="S413" s="7">
        <f t="shared" si="26"/>
        <v>42884.208333333328</v>
      </c>
      <c r="T413" s="8">
        <f t="shared" si="27"/>
        <v>42886.208333333328</v>
      </c>
    </row>
    <row r="414" spans="1:20" x14ac:dyDescent="0.3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24"/>
        <v>6.6885714285714286</v>
      </c>
      <c r="G414" t="s">
        <v>20</v>
      </c>
      <c r="H414">
        <v>134</v>
      </c>
      <c r="I414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119</v>
      </c>
      <c r="Q414" t="s">
        <v>2046</v>
      </c>
      <c r="R414" t="s">
        <v>2052</v>
      </c>
      <c r="S414" s="7">
        <f t="shared" si="26"/>
        <v>41642.25</v>
      </c>
      <c r="T414" s="8">
        <f t="shared" si="27"/>
        <v>41652.25</v>
      </c>
    </row>
    <row r="415" spans="1:20" x14ac:dyDescent="0.3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24"/>
        <v>0.62072823218997364</v>
      </c>
      <c r="G415" t="s">
        <v>47</v>
      </c>
      <c r="H415">
        <v>1089</v>
      </c>
      <c r="I415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71</v>
      </c>
      <c r="Q415" t="s">
        <v>2040</v>
      </c>
      <c r="R415" t="s">
        <v>2048</v>
      </c>
      <c r="S415" s="7">
        <f t="shared" si="26"/>
        <v>43431.25</v>
      </c>
      <c r="T415" s="8">
        <f t="shared" si="27"/>
        <v>43458.25</v>
      </c>
    </row>
    <row r="416" spans="1:20" x14ac:dyDescent="0.3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24"/>
        <v>0.84699787460148779</v>
      </c>
      <c r="G416" t="s">
        <v>14</v>
      </c>
      <c r="H416">
        <v>5497</v>
      </c>
      <c r="I416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">
        <v>2032</v>
      </c>
      <c r="R416" t="s">
        <v>2033</v>
      </c>
      <c r="S416" s="7">
        <f t="shared" si="26"/>
        <v>40288.208333333336</v>
      </c>
      <c r="T416" s="8">
        <f t="shared" si="27"/>
        <v>40296.208333333336</v>
      </c>
    </row>
    <row r="417" spans="1:20" x14ac:dyDescent="0.3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24"/>
        <v>0.11059030837004405</v>
      </c>
      <c r="G417" t="s">
        <v>14</v>
      </c>
      <c r="H417">
        <v>418</v>
      </c>
      <c r="I417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">
        <v>2038</v>
      </c>
      <c r="R417" t="s">
        <v>2039</v>
      </c>
      <c r="S417" s="7">
        <f t="shared" si="26"/>
        <v>40921.25</v>
      </c>
      <c r="T417" s="8">
        <f t="shared" si="27"/>
        <v>40938.25</v>
      </c>
    </row>
    <row r="418" spans="1:20" ht="31" x14ac:dyDescent="0.3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24"/>
        <v>0.43838781575037145</v>
      </c>
      <c r="G418" t="s">
        <v>14</v>
      </c>
      <c r="H418">
        <v>1439</v>
      </c>
      <c r="I418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">
        <v>2040</v>
      </c>
      <c r="R418" t="s">
        <v>2041</v>
      </c>
      <c r="S418" s="7">
        <f t="shared" si="26"/>
        <v>40560.25</v>
      </c>
      <c r="T418" s="8">
        <f t="shared" si="27"/>
        <v>40569.25</v>
      </c>
    </row>
    <row r="419" spans="1:20" x14ac:dyDescent="0.3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24"/>
        <v>0.55470588235294116</v>
      </c>
      <c r="G419" t="s">
        <v>14</v>
      </c>
      <c r="H419">
        <v>15</v>
      </c>
      <c r="I419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">
        <v>2038</v>
      </c>
      <c r="R419" t="s">
        <v>2039</v>
      </c>
      <c r="S419" s="7">
        <f t="shared" si="26"/>
        <v>43407.208333333328</v>
      </c>
      <c r="T419" s="8">
        <f t="shared" si="27"/>
        <v>43431.25</v>
      </c>
    </row>
    <row r="420" spans="1:20" x14ac:dyDescent="0.3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24"/>
        <v>0.57399511301160655</v>
      </c>
      <c r="G420" t="s">
        <v>14</v>
      </c>
      <c r="H420">
        <v>1999</v>
      </c>
      <c r="I420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">
        <v>2040</v>
      </c>
      <c r="R420" t="s">
        <v>2041</v>
      </c>
      <c r="S420" s="7">
        <f t="shared" si="26"/>
        <v>41035.208333333336</v>
      </c>
      <c r="T420" s="8">
        <f t="shared" si="27"/>
        <v>41036.208333333336</v>
      </c>
    </row>
    <row r="421" spans="1:20" x14ac:dyDescent="0.3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24"/>
        <v>1.2343497363796134</v>
      </c>
      <c r="G421" t="s">
        <v>20</v>
      </c>
      <c r="H421">
        <v>5203</v>
      </c>
      <c r="I421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">
        <v>2036</v>
      </c>
      <c r="R421" t="s">
        <v>2037</v>
      </c>
      <c r="S421" s="7">
        <f t="shared" si="26"/>
        <v>40899.25</v>
      </c>
      <c r="T421" s="8">
        <f t="shared" si="27"/>
        <v>40905.25</v>
      </c>
    </row>
    <row r="422" spans="1:20" x14ac:dyDescent="0.3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24"/>
        <v>1.2846</v>
      </c>
      <c r="G422" t="s">
        <v>20</v>
      </c>
      <c r="H422">
        <v>94</v>
      </c>
      <c r="I422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">
        <v>2038</v>
      </c>
      <c r="R422" t="s">
        <v>2039</v>
      </c>
      <c r="S422" s="7">
        <f t="shared" si="26"/>
        <v>42911.208333333328</v>
      </c>
      <c r="T422" s="8">
        <f t="shared" si="27"/>
        <v>42925.208333333328</v>
      </c>
    </row>
    <row r="423" spans="1:20" x14ac:dyDescent="0.3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24"/>
        <v>0.63989361702127656</v>
      </c>
      <c r="G423" t="s">
        <v>14</v>
      </c>
      <c r="H423">
        <v>118</v>
      </c>
      <c r="I423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65</v>
      </c>
      <c r="Q423" t="s">
        <v>2036</v>
      </c>
      <c r="R423" t="s">
        <v>2045</v>
      </c>
      <c r="S423" s="7">
        <f t="shared" si="26"/>
        <v>42915.208333333328</v>
      </c>
      <c r="T423" s="8">
        <f t="shared" si="27"/>
        <v>42945.208333333328</v>
      </c>
    </row>
    <row r="424" spans="1:20" ht="31" x14ac:dyDescent="0.3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24"/>
        <v>1.2729885057471264</v>
      </c>
      <c r="G424" t="s">
        <v>20</v>
      </c>
      <c r="H424">
        <v>205</v>
      </c>
      <c r="I424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">
        <v>2038</v>
      </c>
      <c r="R424" t="s">
        <v>2039</v>
      </c>
      <c r="S424" s="7">
        <f t="shared" si="26"/>
        <v>40285.208333333336</v>
      </c>
      <c r="T424" s="8">
        <f t="shared" si="27"/>
        <v>40305.208333333336</v>
      </c>
    </row>
    <row r="425" spans="1:20" x14ac:dyDescent="0.3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24"/>
        <v>0.10638024357239513</v>
      </c>
      <c r="G425" t="s">
        <v>14</v>
      </c>
      <c r="H425">
        <v>162</v>
      </c>
      <c r="I425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">
        <v>2032</v>
      </c>
      <c r="R425" t="s">
        <v>2033</v>
      </c>
      <c r="S425" s="7">
        <f t="shared" si="26"/>
        <v>40808.208333333336</v>
      </c>
      <c r="T425" s="8">
        <f t="shared" si="27"/>
        <v>40810.208333333336</v>
      </c>
    </row>
    <row r="426" spans="1:20" x14ac:dyDescent="0.3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24"/>
        <v>0.40470588235294119</v>
      </c>
      <c r="G426" t="s">
        <v>14</v>
      </c>
      <c r="H426">
        <v>83</v>
      </c>
      <c r="I426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60</v>
      </c>
      <c r="Q426" t="s">
        <v>2034</v>
      </c>
      <c r="R426" t="s">
        <v>2044</v>
      </c>
      <c r="S426" s="7">
        <f t="shared" si="26"/>
        <v>43208.208333333328</v>
      </c>
      <c r="T426" s="8">
        <f t="shared" si="27"/>
        <v>43214.208333333328</v>
      </c>
    </row>
    <row r="427" spans="1:20" x14ac:dyDescent="0.3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24"/>
        <v>2.8766666666666665</v>
      </c>
      <c r="G427" t="s">
        <v>20</v>
      </c>
      <c r="H427">
        <v>92</v>
      </c>
      <c r="I427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122</v>
      </c>
      <c r="Q427" t="s">
        <v>2053</v>
      </c>
      <c r="R427" t="s">
        <v>2054</v>
      </c>
      <c r="S427" s="7">
        <f t="shared" si="26"/>
        <v>42213.208333333328</v>
      </c>
      <c r="T427" s="8">
        <f t="shared" si="27"/>
        <v>42219.208333333328</v>
      </c>
    </row>
    <row r="428" spans="1:20" x14ac:dyDescent="0.3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24"/>
        <v>5.7294444444444448</v>
      </c>
      <c r="G428" t="s">
        <v>20</v>
      </c>
      <c r="H428">
        <v>219</v>
      </c>
      <c r="I428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">
        <v>2038</v>
      </c>
      <c r="R428" t="s">
        <v>2039</v>
      </c>
      <c r="S428" s="7">
        <f t="shared" si="26"/>
        <v>41332.25</v>
      </c>
      <c r="T428" s="8">
        <f t="shared" si="27"/>
        <v>41339.25</v>
      </c>
    </row>
    <row r="429" spans="1:20" x14ac:dyDescent="0.3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24"/>
        <v>1.1290429799426933</v>
      </c>
      <c r="G429" t="s">
        <v>20</v>
      </c>
      <c r="H429">
        <v>2526</v>
      </c>
      <c r="I429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">
        <v>2038</v>
      </c>
      <c r="R429" t="s">
        <v>2039</v>
      </c>
      <c r="S429" s="7">
        <f t="shared" si="26"/>
        <v>41895.208333333336</v>
      </c>
      <c r="T429" s="8">
        <f t="shared" si="27"/>
        <v>41927.208333333336</v>
      </c>
    </row>
    <row r="430" spans="1:20" x14ac:dyDescent="0.3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24"/>
        <v>0.46387573964497042</v>
      </c>
      <c r="G430" t="s">
        <v>14</v>
      </c>
      <c r="H430">
        <v>747</v>
      </c>
      <c r="I430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71</v>
      </c>
      <c r="Q430" t="s">
        <v>2040</v>
      </c>
      <c r="R430" t="s">
        <v>2048</v>
      </c>
      <c r="S430" s="7">
        <f t="shared" si="26"/>
        <v>40585.25</v>
      </c>
      <c r="T430" s="8">
        <f t="shared" si="27"/>
        <v>40592.25</v>
      </c>
    </row>
    <row r="431" spans="1:20" x14ac:dyDescent="0.3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24"/>
        <v>0.90675916230366493</v>
      </c>
      <c r="G431" t="s">
        <v>74</v>
      </c>
      <c r="H431">
        <v>2138</v>
      </c>
      <c r="I431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122</v>
      </c>
      <c r="Q431" t="s">
        <v>2053</v>
      </c>
      <c r="R431" t="s">
        <v>2054</v>
      </c>
      <c r="S431" s="7">
        <f t="shared" si="26"/>
        <v>41680.25</v>
      </c>
      <c r="T431" s="8">
        <f t="shared" si="27"/>
        <v>41708.208333333336</v>
      </c>
    </row>
    <row r="432" spans="1:20" x14ac:dyDescent="0.3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24"/>
        <v>0.67740740740740746</v>
      </c>
      <c r="G432" t="s">
        <v>14</v>
      </c>
      <c r="H432">
        <v>84</v>
      </c>
      <c r="I432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">
        <v>2038</v>
      </c>
      <c r="R432" t="s">
        <v>2039</v>
      </c>
      <c r="S432" s="7">
        <f t="shared" si="26"/>
        <v>43737.208333333328</v>
      </c>
      <c r="T432" s="8">
        <f t="shared" si="27"/>
        <v>43771.208333333328</v>
      </c>
    </row>
    <row r="433" spans="1:20" x14ac:dyDescent="0.3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24"/>
        <v>1.9249019607843136</v>
      </c>
      <c r="G433" t="s">
        <v>20</v>
      </c>
      <c r="H433">
        <v>94</v>
      </c>
      <c r="I433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">
        <v>2038</v>
      </c>
      <c r="R433" t="s">
        <v>2039</v>
      </c>
      <c r="S433" s="7">
        <f t="shared" si="26"/>
        <v>43273.208333333328</v>
      </c>
      <c r="T433" s="8">
        <f t="shared" si="27"/>
        <v>43290.208333333328</v>
      </c>
    </row>
    <row r="434" spans="1:20" x14ac:dyDescent="0.3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24"/>
        <v>0.82714285714285718</v>
      </c>
      <c r="G434" t="s">
        <v>14</v>
      </c>
      <c r="H434">
        <v>91</v>
      </c>
      <c r="I434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">
        <v>2038</v>
      </c>
      <c r="R434" t="s">
        <v>2039</v>
      </c>
      <c r="S434" s="7">
        <f t="shared" si="26"/>
        <v>41761.208333333336</v>
      </c>
      <c r="T434" s="8">
        <f t="shared" si="27"/>
        <v>41781.208333333336</v>
      </c>
    </row>
    <row r="435" spans="1:20" x14ac:dyDescent="0.3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24"/>
        <v>0.54163920922570019</v>
      </c>
      <c r="G435" t="s">
        <v>14</v>
      </c>
      <c r="H435">
        <v>792</v>
      </c>
      <c r="I435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">
        <v>2040</v>
      </c>
      <c r="R435" t="s">
        <v>2041</v>
      </c>
      <c r="S435" s="7">
        <f t="shared" si="26"/>
        <v>41603.25</v>
      </c>
      <c r="T435" s="8">
        <f t="shared" si="27"/>
        <v>41619.25</v>
      </c>
    </row>
    <row r="436" spans="1:20" x14ac:dyDescent="0.3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24"/>
        <v>0.16722222222222222</v>
      </c>
      <c r="G436" t="s">
        <v>74</v>
      </c>
      <c r="H436">
        <v>10</v>
      </c>
      <c r="I436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">
        <v>2038</v>
      </c>
      <c r="R436" t="s">
        <v>2039</v>
      </c>
      <c r="S436" s="7">
        <f t="shared" si="26"/>
        <v>42705.25</v>
      </c>
      <c r="T436" s="8">
        <f t="shared" si="27"/>
        <v>42719.25</v>
      </c>
    </row>
    <row r="437" spans="1:20" x14ac:dyDescent="0.3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24"/>
        <v>1.168766404199475</v>
      </c>
      <c r="G437" t="s">
        <v>20</v>
      </c>
      <c r="H437">
        <v>1713</v>
      </c>
      <c r="I437">
        <f t="shared" si="25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">
        <v>2038</v>
      </c>
      <c r="R437" t="s">
        <v>2039</v>
      </c>
      <c r="S437" s="7">
        <f t="shared" si="26"/>
        <v>41988.25</v>
      </c>
      <c r="T437" s="8">
        <f t="shared" si="27"/>
        <v>42000.25</v>
      </c>
    </row>
    <row r="438" spans="1:20" x14ac:dyDescent="0.3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24"/>
        <v>10.521538461538462</v>
      </c>
      <c r="G438" t="s">
        <v>20</v>
      </c>
      <c r="H438">
        <v>249</v>
      </c>
      <c r="I438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159</v>
      </c>
      <c r="Q438" t="s">
        <v>2034</v>
      </c>
      <c r="R438" t="s">
        <v>2057</v>
      </c>
      <c r="S438" s="7">
        <f t="shared" si="26"/>
        <v>43575.208333333328</v>
      </c>
      <c r="T438" s="8">
        <f t="shared" si="27"/>
        <v>43576.208333333328</v>
      </c>
    </row>
    <row r="439" spans="1:20" x14ac:dyDescent="0.3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24"/>
        <v>1.2307407407407407</v>
      </c>
      <c r="G439" t="s">
        <v>20</v>
      </c>
      <c r="H439">
        <v>192</v>
      </c>
      <c r="I439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71</v>
      </c>
      <c r="Q439" t="s">
        <v>2040</v>
      </c>
      <c r="R439" t="s">
        <v>2048</v>
      </c>
      <c r="S439" s="7">
        <f t="shared" si="26"/>
        <v>42260.208333333328</v>
      </c>
      <c r="T439" s="8">
        <f t="shared" si="27"/>
        <v>42263.208333333328</v>
      </c>
    </row>
    <row r="440" spans="1:20" ht="31" x14ac:dyDescent="0.3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24"/>
        <v>1.7863855421686747</v>
      </c>
      <c r="G440" t="s">
        <v>20</v>
      </c>
      <c r="H440">
        <v>247</v>
      </c>
      <c r="I440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">
        <v>2038</v>
      </c>
      <c r="R440" t="s">
        <v>2039</v>
      </c>
      <c r="S440" s="7">
        <f t="shared" si="26"/>
        <v>41337.25</v>
      </c>
      <c r="T440" s="8">
        <f t="shared" si="27"/>
        <v>41367.208333333336</v>
      </c>
    </row>
    <row r="441" spans="1:20" x14ac:dyDescent="0.3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24"/>
        <v>3.5528169014084505</v>
      </c>
      <c r="G441" t="s">
        <v>20</v>
      </c>
      <c r="H441">
        <v>2293</v>
      </c>
      <c r="I441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474</v>
      </c>
      <c r="Q441" t="s">
        <v>2040</v>
      </c>
      <c r="R441" t="s">
        <v>2062</v>
      </c>
      <c r="S441" s="7">
        <f t="shared" si="26"/>
        <v>42680.208333333328</v>
      </c>
      <c r="T441" s="8">
        <f t="shared" si="27"/>
        <v>42687.25</v>
      </c>
    </row>
    <row r="442" spans="1:20" x14ac:dyDescent="0.3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24"/>
        <v>1.6190634146341463</v>
      </c>
      <c r="G442" t="s">
        <v>20</v>
      </c>
      <c r="H442">
        <v>3131</v>
      </c>
      <c r="I442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269</v>
      </c>
      <c r="Q442" t="s">
        <v>2040</v>
      </c>
      <c r="R442" t="s">
        <v>2059</v>
      </c>
      <c r="S442" s="7">
        <f t="shared" si="26"/>
        <v>42916.208333333328</v>
      </c>
      <c r="T442" s="8">
        <f t="shared" si="27"/>
        <v>42926.208333333328</v>
      </c>
    </row>
    <row r="443" spans="1:20" x14ac:dyDescent="0.3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24"/>
        <v>0.24914285714285714</v>
      </c>
      <c r="G443" t="s">
        <v>14</v>
      </c>
      <c r="H443">
        <v>32</v>
      </c>
      <c r="I443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65</v>
      </c>
      <c r="Q443" t="s">
        <v>2036</v>
      </c>
      <c r="R443" t="s">
        <v>2045</v>
      </c>
      <c r="S443" s="7">
        <f t="shared" si="26"/>
        <v>41025.208333333336</v>
      </c>
      <c r="T443" s="8">
        <f t="shared" si="27"/>
        <v>41053.208333333336</v>
      </c>
    </row>
    <row r="444" spans="1:20" x14ac:dyDescent="0.3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24"/>
        <v>1.9872222222222222</v>
      </c>
      <c r="G444" t="s">
        <v>20</v>
      </c>
      <c r="H444">
        <v>143</v>
      </c>
      <c r="I444">
        <f t="shared" si="25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">
        <v>2038</v>
      </c>
      <c r="R444" t="s">
        <v>2039</v>
      </c>
      <c r="S444" s="7">
        <f t="shared" si="26"/>
        <v>42980.208333333328</v>
      </c>
      <c r="T444" s="8">
        <f t="shared" si="27"/>
        <v>42996.208333333328</v>
      </c>
    </row>
    <row r="445" spans="1:20" x14ac:dyDescent="0.3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24"/>
        <v>0.34752688172043011</v>
      </c>
      <c r="G445" t="s">
        <v>74</v>
      </c>
      <c r="H445">
        <v>90</v>
      </c>
      <c r="I445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">
        <v>2038</v>
      </c>
      <c r="R445" t="s">
        <v>2039</v>
      </c>
      <c r="S445" s="7">
        <f t="shared" si="26"/>
        <v>40451.208333333336</v>
      </c>
      <c r="T445" s="8">
        <f t="shared" si="27"/>
        <v>40470.208333333336</v>
      </c>
    </row>
    <row r="446" spans="1:20" x14ac:dyDescent="0.3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24"/>
        <v>1.7641935483870967</v>
      </c>
      <c r="G446" t="s">
        <v>20</v>
      </c>
      <c r="H446">
        <v>296</v>
      </c>
      <c r="I446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60</v>
      </c>
      <c r="Q446" t="s">
        <v>2034</v>
      </c>
      <c r="R446" t="s">
        <v>2044</v>
      </c>
      <c r="S446" s="7">
        <f t="shared" si="26"/>
        <v>40748.208333333336</v>
      </c>
      <c r="T446" s="8">
        <f t="shared" si="27"/>
        <v>40750.208333333336</v>
      </c>
    </row>
    <row r="447" spans="1:20" ht="31" x14ac:dyDescent="0.3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24"/>
        <v>5.1138095238095236</v>
      </c>
      <c r="G447" t="s">
        <v>20</v>
      </c>
      <c r="H447">
        <v>170</v>
      </c>
      <c r="I447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">
        <v>2038</v>
      </c>
      <c r="R447" t="s">
        <v>2039</v>
      </c>
      <c r="S447" s="7">
        <f t="shared" si="26"/>
        <v>40515.25</v>
      </c>
      <c r="T447" s="8">
        <f t="shared" si="27"/>
        <v>40536.25</v>
      </c>
    </row>
    <row r="448" spans="1:20" x14ac:dyDescent="0.3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24"/>
        <v>0.82044117647058823</v>
      </c>
      <c r="G448" t="s">
        <v>14</v>
      </c>
      <c r="H448">
        <v>186</v>
      </c>
      <c r="I448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65</v>
      </c>
      <c r="Q448" t="s">
        <v>2036</v>
      </c>
      <c r="R448" t="s">
        <v>2045</v>
      </c>
      <c r="S448" s="7">
        <f t="shared" si="26"/>
        <v>41261.25</v>
      </c>
      <c r="T448" s="8">
        <f t="shared" si="27"/>
        <v>41263.25</v>
      </c>
    </row>
    <row r="449" spans="1:20" ht="31" x14ac:dyDescent="0.3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24"/>
        <v>0.24326030927835052</v>
      </c>
      <c r="G449" t="s">
        <v>74</v>
      </c>
      <c r="H449">
        <v>439</v>
      </c>
      <c r="I449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269</v>
      </c>
      <c r="Q449" t="s">
        <v>2040</v>
      </c>
      <c r="R449" t="s">
        <v>2059</v>
      </c>
      <c r="S449" s="7">
        <f t="shared" si="26"/>
        <v>43088.25</v>
      </c>
      <c r="T449" s="8">
        <f t="shared" si="27"/>
        <v>43104.25</v>
      </c>
    </row>
    <row r="450" spans="1:20" x14ac:dyDescent="0.3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24"/>
        <v>0.50482758620689661</v>
      </c>
      <c r="G450" t="s">
        <v>14</v>
      </c>
      <c r="H450">
        <v>605</v>
      </c>
      <c r="I450">
        <f t="shared" si="25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89</v>
      </c>
      <c r="Q450" t="s">
        <v>2049</v>
      </c>
      <c r="R450" t="s">
        <v>2050</v>
      </c>
      <c r="S450" s="7">
        <f t="shared" si="26"/>
        <v>41378.208333333336</v>
      </c>
      <c r="T450" s="8">
        <f t="shared" si="27"/>
        <v>41380.208333333336</v>
      </c>
    </row>
    <row r="451" spans="1:20" x14ac:dyDescent="0.3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ref="F451:F514" si="28">E451/D451</f>
        <v>9.67</v>
      </c>
      <c r="G451" t="s">
        <v>20</v>
      </c>
      <c r="H451">
        <v>86</v>
      </c>
      <c r="I451">
        <f t="shared" ref="I451:I514" si="29">IFERROR(E451/H451, "0")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89</v>
      </c>
      <c r="Q451" t="s">
        <v>2049</v>
      </c>
      <c r="R451" t="s">
        <v>2050</v>
      </c>
      <c r="S451" s="7">
        <f t="shared" ref="S451:S514" si="30">(((L451/60)/60)/24)+DATE(1970,1,1)</f>
        <v>43530.25</v>
      </c>
      <c r="T451" s="8">
        <f t="shared" ref="T451:T514" si="31">(((M451/60)/60)/24)+DATE(1970,1,1)</f>
        <v>43547.208333333328</v>
      </c>
    </row>
    <row r="452" spans="1:20" x14ac:dyDescent="0.3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si="28"/>
        <v>0.04</v>
      </c>
      <c r="G452" t="s">
        <v>14</v>
      </c>
      <c r="H452">
        <v>1</v>
      </c>
      <c r="I452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71</v>
      </c>
      <c r="Q452" t="s">
        <v>2040</v>
      </c>
      <c r="R452" t="s">
        <v>2048</v>
      </c>
      <c r="S452" s="7">
        <f t="shared" si="30"/>
        <v>43394.208333333328</v>
      </c>
      <c r="T452" s="8">
        <f t="shared" si="31"/>
        <v>43417.25</v>
      </c>
    </row>
    <row r="453" spans="1:20" x14ac:dyDescent="0.3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28"/>
        <v>1.2284501347708894</v>
      </c>
      <c r="G453" t="s">
        <v>20</v>
      </c>
      <c r="H453">
        <v>6286</v>
      </c>
      <c r="I453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">
        <v>2034</v>
      </c>
      <c r="R453" t="s">
        <v>2035</v>
      </c>
      <c r="S453" s="7">
        <f t="shared" si="30"/>
        <v>42935.208333333328</v>
      </c>
      <c r="T453" s="8">
        <f t="shared" si="31"/>
        <v>42966.208333333328</v>
      </c>
    </row>
    <row r="454" spans="1:20" ht="31" x14ac:dyDescent="0.3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28"/>
        <v>0.63437500000000002</v>
      </c>
      <c r="G454" t="s">
        <v>14</v>
      </c>
      <c r="H454">
        <v>31</v>
      </c>
      <c r="I454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">
        <v>2040</v>
      </c>
      <c r="R454" t="s">
        <v>2043</v>
      </c>
      <c r="S454" s="7">
        <f t="shared" si="30"/>
        <v>40365.208333333336</v>
      </c>
      <c r="T454" s="8">
        <f t="shared" si="31"/>
        <v>40366.208333333336</v>
      </c>
    </row>
    <row r="455" spans="1:20" ht="31" x14ac:dyDescent="0.3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28"/>
        <v>0.56331688596491225</v>
      </c>
      <c r="G455" t="s">
        <v>14</v>
      </c>
      <c r="H455">
        <v>1181</v>
      </c>
      <c r="I455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474</v>
      </c>
      <c r="Q455" t="s">
        <v>2040</v>
      </c>
      <c r="R455" t="s">
        <v>2062</v>
      </c>
      <c r="S455" s="7">
        <f t="shared" si="30"/>
        <v>42705.25</v>
      </c>
      <c r="T455" s="8">
        <f t="shared" si="31"/>
        <v>42746.25</v>
      </c>
    </row>
    <row r="456" spans="1:20" x14ac:dyDescent="0.3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28"/>
        <v>0.44074999999999998</v>
      </c>
      <c r="G456" t="s">
        <v>14</v>
      </c>
      <c r="H456">
        <v>39</v>
      </c>
      <c r="I456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">
        <v>2040</v>
      </c>
      <c r="R456" t="s">
        <v>2043</v>
      </c>
      <c r="S456" s="7">
        <f t="shared" si="30"/>
        <v>41568.208333333336</v>
      </c>
      <c r="T456" s="8">
        <f t="shared" si="31"/>
        <v>41604.25</v>
      </c>
    </row>
    <row r="457" spans="1:20" x14ac:dyDescent="0.3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28"/>
        <v>1.1837253218884121</v>
      </c>
      <c r="G457" t="s">
        <v>20</v>
      </c>
      <c r="H457">
        <v>3727</v>
      </c>
      <c r="I457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">
        <v>2038</v>
      </c>
      <c r="R457" t="s">
        <v>2039</v>
      </c>
      <c r="S457" s="7">
        <f t="shared" si="30"/>
        <v>40809.208333333336</v>
      </c>
      <c r="T457" s="8">
        <f t="shared" si="31"/>
        <v>40832.208333333336</v>
      </c>
    </row>
    <row r="458" spans="1:20" ht="31" x14ac:dyDescent="0.3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28"/>
        <v>1.041243169398907</v>
      </c>
      <c r="G458" t="s">
        <v>20</v>
      </c>
      <c r="H458">
        <v>1605</v>
      </c>
      <c r="I458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60</v>
      </c>
      <c r="Q458" t="s">
        <v>2034</v>
      </c>
      <c r="R458" t="s">
        <v>2044</v>
      </c>
      <c r="S458" s="7">
        <f t="shared" si="30"/>
        <v>43141.25</v>
      </c>
      <c r="T458" s="8">
        <f t="shared" si="31"/>
        <v>43141.25</v>
      </c>
    </row>
    <row r="459" spans="1:20" x14ac:dyDescent="0.3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28"/>
        <v>0.26640000000000003</v>
      </c>
      <c r="G459" t="s">
        <v>14</v>
      </c>
      <c r="H459">
        <v>46</v>
      </c>
      <c r="I459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">
        <v>2038</v>
      </c>
      <c r="R459" t="s">
        <v>2039</v>
      </c>
      <c r="S459" s="7">
        <f t="shared" si="30"/>
        <v>42657.208333333328</v>
      </c>
      <c r="T459" s="8">
        <f t="shared" si="31"/>
        <v>42659.208333333328</v>
      </c>
    </row>
    <row r="460" spans="1:20" x14ac:dyDescent="0.3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28"/>
        <v>3.5120118343195266</v>
      </c>
      <c r="G460" t="s">
        <v>20</v>
      </c>
      <c r="H460">
        <v>2120</v>
      </c>
      <c r="I460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">
        <v>2038</v>
      </c>
      <c r="R460" t="s">
        <v>2039</v>
      </c>
      <c r="S460" s="7">
        <f t="shared" si="30"/>
        <v>40265.208333333336</v>
      </c>
      <c r="T460" s="8">
        <f t="shared" si="31"/>
        <v>40309.208333333336</v>
      </c>
    </row>
    <row r="461" spans="1:20" x14ac:dyDescent="0.3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28"/>
        <v>0.90063492063492068</v>
      </c>
      <c r="G461" t="s">
        <v>14</v>
      </c>
      <c r="H461">
        <v>105</v>
      </c>
      <c r="I461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">
        <v>2040</v>
      </c>
      <c r="R461" t="s">
        <v>2041</v>
      </c>
      <c r="S461" s="7">
        <f t="shared" si="30"/>
        <v>42001.25</v>
      </c>
      <c r="T461" s="8">
        <f t="shared" si="31"/>
        <v>42026.25</v>
      </c>
    </row>
    <row r="462" spans="1:20" x14ac:dyDescent="0.3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28"/>
        <v>1.7162500000000001</v>
      </c>
      <c r="G462" t="s">
        <v>20</v>
      </c>
      <c r="H462">
        <v>50</v>
      </c>
      <c r="I462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">
        <v>2038</v>
      </c>
      <c r="R462" t="s">
        <v>2039</v>
      </c>
      <c r="S462" s="7">
        <f t="shared" si="30"/>
        <v>40399.208333333336</v>
      </c>
      <c r="T462" s="8">
        <f t="shared" si="31"/>
        <v>40402.208333333336</v>
      </c>
    </row>
    <row r="463" spans="1:20" x14ac:dyDescent="0.3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28"/>
        <v>1.4104655870445344</v>
      </c>
      <c r="G463" t="s">
        <v>20</v>
      </c>
      <c r="H463">
        <v>2080</v>
      </c>
      <c r="I463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">
        <v>2040</v>
      </c>
      <c r="R463" t="s">
        <v>2043</v>
      </c>
      <c r="S463" s="7">
        <f t="shared" si="30"/>
        <v>41757.208333333336</v>
      </c>
      <c r="T463" s="8">
        <f t="shared" si="31"/>
        <v>41777.208333333336</v>
      </c>
    </row>
    <row r="464" spans="1:20" x14ac:dyDescent="0.3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28"/>
        <v>0.30579449152542371</v>
      </c>
      <c r="G464" t="s">
        <v>14</v>
      </c>
      <c r="H464">
        <v>535</v>
      </c>
      <c r="I464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292</v>
      </c>
      <c r="Q464" t="s">
        <v>2049</v>
      </c>
      <c r="R464" t="s">
        <v>2060</v>
      </c>
      <c r="S464" s="7">
        <f t="shared" si="30"/>
        <v>41304.25</v>
      </c>
      <c r="T464" s="8">
        <f t="shared" si="31"/>
        <v>41342.25</v>
      </c>
    </row>
    <row r="465" spans="1:20" ht="31" x14ac:dyDescent="0.3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28"/>
        <v>1.0816455696202532</v>
      </c>
      <c r="G465" t="s">
        <v>20</v>
      </c>
      <c r="H465">
        <v>2105</v>
      </c>
      <c r="I465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71</v>
      </c>
      <c r="Q465" t="s">
        <v>2040</v>
      </c>
      <c r="R465" t="s">
        <v>2048</v>
      </c>
      <c r="S465" s="7">
        <f t="shared" si="30"/>
        <v>41639.25</v>
      </c>
      <c r="T465" s="8">
        <f t="shared" si="31"/>
        <v>41643.25</v>
      </c>
    </row>
    <row r="466" spans="1:20" x14ac:dyDescent="0.3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28"/>
        <v>1.3345505617977529</v>
      </c>
      <c r="G466" t="s">
        <v>20</v>
      </c>
      <c r="H466">
        <v>2436</v>
      </c>
      <c r="I466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">
        <v>2038</v>
      </c>
      <c r="R466" t="s">
        <v>2039</v>
      </c>
      <c r="S466" s="7">
        <f t="shared" si="30"/>
        <v>43142.25</v>
      </c>
      <c r="T466" s="8">
        <f t="shared" si="31"/>
        <v>43156.25</v>
      </c>
    </row>
    <row r="467" spans="1:20" x14ac:dyDescent="0.3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28"/>
        <v>1.8785106382978722</v>
      </c>
      <c r="G467" t="s">
        <v>20</v>
      </c>
      <c r="H467">
        <v>80</v>
      </c>
      <c r="I467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206</v>
      </c>
      <c r="Q467" t="s">
        <v>2046</v>
      </c>
      <c r="R467" t="s">
        <v>2058</v>
      </c>
      <c r="S467" s="7">
        <f t="shared" si="30"/>
        <v>43127.25</v>
      </c>
      <c r="T467" s="8">
        <f t="shared" si="31"/>
        <v>43136.25</v>
      </c>
    </row>
    <row r="468" spans="1:20" x14ac:dyDescent="0.3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28"/>
        <v>3.32</v>
      </c>
      <c r="G468" t="s">
        <v>20</v>
      </c>
      <c r="H468">
        <v>42</v>
      </c>
      <c r="I468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65</v>
      </c>
      <c r="Q468" t="s">
        <v>2036</v>
      </c>
      <c r="R468" t="s">
        <v>2045</v>
      </c>
      <c r="S468" s="7">
        <f t="shared" si="30"/>
        <v>41409.208333333336</v>
      </c>
      <c r="T468" s="8">
        <f t="shared" si="31"/>
        <v>41432.208333333336</v>
      </c>
    </row>
    <row r="469" spans="1:20" ht="31" x14ac:dyDescent="0.3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28"/>
        <v>5.7521428571428572</v>
      </c>
      <c r="G469" t="s">
        <v>20</v>
      </c>
      <c r="H469">
        <v>139</v>
      </c>
      <c r="I469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">
        <v>2036</v>
      </c>
      <c r="R469" t="s">
        <v>2037</v>
      </c>
      <c r="S469" s="7">
        <f t="shared" si="30"/>
        <v>42331.25</v>
      </c>
      <c r="T469" s="8">
        <f t="shared" si="31"/>
        <v>42338.25</v>
      </c>
    </row>
    <row r="470" spans="1:20" x14ac:dyDescent="0.3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28"/>
        <v>0.40500000000000003</v>
      </c>
      <c r="G470" t="s">
        <v>14</v>
      </c>
      <c r="H470">
        <v>16</v>
      </c>
      <c r="I470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">
        <v>2038</v>
      </c>
      <c r="R470" t="s">
        <v>2039</v>
      </c>
      <c r="S470" s="7">
        <f t="shared" si="30"/>
        <v>43569.208333333328</v>
      </c>
      <c r="T470" s="8">
        <f t="shared" si="31"/>
        <v>43585.208333333328</v>
      </c>
    </row>
    <row r="471" spans="1:20" x14ac:dyDescent="0.3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28"/>
        <v>1.8442857142857143</v>
      </c>
      <c r="G471" t="s">
        <v>20</v>
      </c>
      <c r="H471">
        <v>159</v>
      </c>
      <c r="I471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">
        <v>2040</v>
      </c>
      <c r="R471" t="s">
        <v>2043</v>
      </c>
      <c r="S471" s="7">
        <f t="shared" si="30"/>
        <v>42142.208333333328</v>
      </c>
      <c r="T471" s="8">
        <f t="shared" si="31"/>
        <v>42144.208333333328</v>
      </c>
    </row>
    <row r="472" spans="1:20" x14ac:dyDescent="0.3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28"/>
        <v>2.8580555555555556</v>
      </c>
      <c r="G472" t="s">
        <v>20</v>
      </c>
      <c r="H472">
        <v>381</v>
      </c>
      <c r="I472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65</v>
      </c>
      <c r="Q472" t="s">
        <v>2036</v>
      </c>
      <c r="R472" t="s">
        <v>2045</v>
      </c>
      <c r="S472" s="7">
        <f t="shared" si="30"/>
        <v>42716.25</v>
      </c>
      <c r="T472" s="8">
        <f t="shared" si="31"/>
        <v>42723.25</v>
      </c>
    </row>
    <row r="473" spans="1:20" x14ac:dyDescent="0.3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28"/>
        <v>3.19</v>
      </c>
      <c r="G473" t="s">
        <v>20</v>
      </c>
      <c r="H473">
        <v>194</v>
      </c>
      <c r="I473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">
        <v>2032</v>
      </c>
      <c r="R473" t="s">
        <v>2033</v>
      </c>
      <c r="S473" s="7">
        <f t="shared" si="30"/>
        <v>41031.208333333336</v>
      </c>
      <c r="T473" s="8">
        <f t="shared" si="31"/>
        <v>41031.208333333336</v>
      </c>
    </row>
    <row r="474" spans="1:20" x14ac:dyDescent="0.3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28"/>
        <v>0.39234070221066319</v>
      </c>
      <c r="G474" t="s">
        <v>14</v>
      </c>
      <c r="H474">
        <v>575</v>
      </c>
      <c r="I474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">
        <v>2034</v>
      </c>
      <c r="R474" t="s">
        <v>2035</v>
      </c>
      <c r="S474" s="7">
        <f t="shared" si="30"/>
        <v>43535.208333333328</v>
      </c>
      <c r="T474" s="8">
        <f t="shared" si="31"/>
        <v>43589.208333333328</v>
      </c>
    </row>
    <row r="475" spans="1:20" x14ac:dyDescent="0.3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28"/>
        <v>1.7814000000000001</v>
      </c>
      <c r="G475" t="s">
        <v>20</v>
      </c>
      <c r="H475">
        <v>106</v>
      </c>
      <c r="I475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">
        <v>2034</v>
      </c>
      <c r="R475" t="s">
        <v>2042</v>
      </c>
      <c r="S475" s="7">
        <f t="shared" si="30"/>
        <v>43277.208333333328</v>
      </c>
      <c r="T475" s="8">
        <f t="shared" si="31"/>
        <v>43278.208333333328</v>
      </c>
    </row>
    <row r="476" spans="1:20" x14ac:dyDescent="0.3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28"/>
        <v>3.6515</v>
      </c>
      <c r="G476" t="s">
        <v>20</v>
      </c>
      <c r="H476">
        <v>142</v>
      </c>
      <c r="I476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269</v>
      </c>
      <c r="Q476" t="s">
        <v>2040</v>
      </c>
      <c r="R476" t="s">
        <v>2059</v>
      </c>
      <c r="S476" s="7">
        <f t="shared" si="30"/>
        <v>41989.25</v>
      </c>
      <c r="T476" s="8">
        <f t="shared" si="31"/>
        <v>41990.25</v>
      </c>
    </row>
    <row r="477" spans="1:20" ht="31" x14ac:dyDescent="0.3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28"/>
        <v>1.1394594594594594</v>
      </c>
      <c r="G477" t="s">
        <v>20</v>
      </c>
      <c r="H477">
        <v>211</v>
      </c>
      <c r="I477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206</v>
      </c>
      <c r="Q477" t="s">
        <v>2046</v>
      </c>
      <c r="R477" t="s">
        <v>2058</v>
      </c>
      <c r="S477" s="7">
        <f t="shared" si="30"/>
        <v>41450.208333333336</v>
      </c>
      <c r="T477" s="8">
        <f t="shared" si="31"/>
        <v>41454.208333333336</v>
      </c>
    </row>
    <row r="478" spans="1:20" ht="31" x14ac:dyDescent="0.3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28"/>
        <v>0.29828720626631855</v>
      </c>
      <c r="G478" t="s">
        <v>14</v>
      </c>
      <c r="H478">
        <v>1120</v>
      </c>
      <c r="I478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119</v>
      </c>
      <c r="Q478" t="s">
        <v>2046</v>
      </c>
      <c r="R478" t="s">
        <v>2052</v>
      </c>
      <c r="S478" s="7">
        <f t="shared" si="30"/>
        <v>43322.208333333328</v>
      </c>
      <c r="T478" s="8">
        <f t="shared" si="31"/>
        <v>43328.208333333328</v>
      </c>
    </row>
    <row r="479" spans="1:20" x14ac:dyDescent="0.3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28"/>
        <v>0.54270588235294115</v>
      </c>
      <c r="G479" t="s">
        <v>14</v>
      </c>
      <c r="H479">
        <v>113</v>
      </c>
      <c r="I479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474</v>
      </c>
      <c r="Q479" t="s">
        <v>2040</v>
      </c>
      <c r="R479" t="s">
        <v>2062</v>
      </c>
      <c r="S479" s="7">
        <f t="shared" si="30"/>
        <v>40720.208333333336</v>
      </c>
      <c r="T479" s="8">
        <f t="shared" si="31"/>
        <v>40747.208333333336</v>
      </c>
    </row>
    <row r="480" spans="1:20" x14ac:dyDescent="0.3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28"/>
        <v>2.3634156976744185</v>
      </c>
      <c r="G480" t="s">
        <v>20</v>
      </c>
      <c r="H480">
        <v>2756</v>
      </c>
      <c r="I480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65</v>
      </c>
      <c r="Q480" t="s">
        <v>2036</v>
      </c>
      <c r="R480" t="s">
        <v>2045</v>
      </c>
      <c r="S480" s="7">
        <f t="shared" si="30"/>
        <v>42072.208333333328</v>
      </c>
      <c r="T480" s="8">
        <f t="shared" si="31"/>
        <v>42084.208333333328</v>
      </c>
    </row>
    <row r="481" spans="1:20" x14ac:dyDescent="0.3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28"/>
        <v>5.1291666666666664</v>
      </c>
      <c r="G481" t="s">
        <v>20</v>
      </c>
      <c r="H481">
        <v>173</v>
      </c>
      <c r="I481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">
        <v>2032</v>
      </c>
      <c r="R481" t="s">
        <v>2033</v>
      </c>
      <c r="S481" s="7">
        <f t="shared" si="30"/>
        <v>42945.208333333328</v>
      </c>
      <c r="T481" s="8">
        <f t="shared" si="31"/>
        <v>42947.208333333328</v>
      </c>
    </row>
    <row r="482" spans="1:20" x14ac:dyDescent="0.3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28"/>
        <v>1.0065116279069768</v>
      </c>
      <c r="G482" t="s">
        <v>20</v>
      </c>
      <c r="H482">
        <v>87</v>
      </c>
      <c r="I482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122</v>
      </c>
      <c r="Q482" t="s">
        <v>2053</v>
      </c>
      <c r="R482" t="s">
        <v>2054</v>
      </c>
      <c r="S482" s="7">
        <f t="shared" si="30"/>
        <v>40248.25</v>
      </c>
      <c r="T482" s="8">
        <f t="shared" si="31"/>
        <v>40257.208333333336</v>
      </c>
    </row>
    <row r="483" spans="1:20" ht="31" x14ac:dyDescent="0.3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28"/>
        <v>0.81348423194303154</v>
      </c>
      <c r="G483" t="s">
        <v>14</v>
      </c>
      <c r="H483">
        <v>1538</v>
      </c>
      <c r="I483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">
        <v>2038</v>
      </c>
      <c r="R483" t="s">
        <v>2039</v>
      </c>
      <c r="S483" s="7">
        <f t="shared" si="30"/>
        <v>41913.208333333336</v>
      </c>
      <c r="T483" s="8">
        <f t="shared" si="31"/>
        <v>41955.25</v>
      </c>
    </row>
    <row r="484" spans="1:20" ht="31" x14ac:dyDescent="0.3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28"/>
        <v>0.16404761904761905</v>
      </c>
      <c r="G484" t="s">
        <v>14</v>
      </c>
      <c r="H484">
        <v>9</v>
      </c>
      <c r="I484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119</v>
      </c>
      <c r="Q484" t="s">
        <v>2046</v>
      </c>
      <c r="R484" t="s">
        <v>2052</v>
      </c>
      <c r="S484" s="7">
        <f t="shared" si="30"/>
        <v>40963.25</v>
      </c>
      <c r="T484" s="8">
        <f t="shared" si="31"/>
        <v>40974.25</v>
      </c>
    </row>
    <row r="485" spans="1:20" x14ac:dyDescent="0.3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28"/>
        <v>0.52774617067833696</v>
      </c>
      <c r="G485" t="s">
        <v>14</v>
      </c>
      <c r="H485">
        <v>554</v>
      </c>
      <c r="I485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">
        <v>2038</v>
      </c>
      <c r="R485" t="s">
        <v>2039</v>
      </c>
      <c r="S485" s="7">
        <f t="shared" si="30"/>
        <v>43811.25</v>
      </c>
      <c r="T485" s="8">
        <f t="shared" si="31"/>
        <v>43818.25</v>
      </c>
    </row>
    <row r="486" spans="1:20" x14ac:dyDescent="0.3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28"/>
        <v>2.6020608108108108</v>
      </c>
      <c r="G486" t="s">
        <v>20</v>
      </c>
      <c r="H486">
        <v>1572</v>
      </c>
      <c r="I486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">
        <v>2032</v>
      </c>
      <c r="R486" t="s">
        <v>2033</v>
      </c>
      <c r="S486" s="7">
        <f t="shared" si="30"/>
        <v>41855.208333333336</v>
      </c>
      <c r="T486" s="8">
        <f t="shared" si="31"/>
        <v>41904.208333333336</v>
      </c>
    </row>
    <row r="487" spans="1:20" ht="31" x14ac:dyDescent="0.3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28"/>
        <v>0.30732891832229581</v>
      </c>
      <c r="G487" t="s">
        <v>14</v>
      </c>
      <c r="H487">
        <v>648</v>
      </c>
      <c r="I487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">
        <v>2038</v>
      </c>
      <c r="R487" t="s">
        <v>2039</v>
      </c>
      <c r="S487" s="7">
        <f t="shared" si="30"/>
        <v>43626.208333333328</v>
      </c>
      <c r="T487" s="8">
        <f t="shared" si="31"/>
        <v>43667.208333333328</v>
      </c>
    </row>
    <row r="488" spans="1:20" ht="31" x14ac:dyDescent="0.3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28"/>
        <v>0.13500000000000001</v>
      </c>
      <c r="G488" t="s">
        <v>14</v>
      </c>
      <c r="H488">
        <v>21</v>
      </c>
      <c r="I488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206</v>
      </c>
      <c r="Q488" t="s">
        <v>2046</v>
      </c>
      <c r="R488" t="s">
        <v>2058</v>
      </c>
      <c r="S488" s="7">
        <f t="shared" si="30"/>
        <v>43168.25</v>
      </c>
      <c r="T488" s="8">
        <f t="shared" si="31"/>
        <v>43183.208333333328</v>
      </c>
    </row>
    <row r="489" spans="1:20" x14ac:dyDescent="0.3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28"/>
        <v>1.7862556663644606</v>
      </c>
      <c r="G489" t="s">
        <v>20</v>
      </c>
      <c r="H489">
        <v>2346</v>
      </c>
      <c r="I489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">
        <v>2038</v>
      </c>
      <c r="R489" t="s">
        <v>2039</v>
      </c>
      <c r="S489" s="7">
        <f t="shared" si="30"/>
        <v>42845.208333333328</v>
      </c>
      <c r="T489" s="8">
        <f t="shared" si="31"/>
        <v>42878.208333333328</v>
      </c>
    </row>
    <row r="490" spans="1:20" x14ac:dyDescent="0.3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28"/>
        <v>2.2005660377358489</v>
      </c>
      <c r="G490" t="s">
        <v>20</v>
      </c>
      <c r="H490">
        <v>115</v>
      </c>
      <c r="I490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">
        <v>2038</v>
      </c>
      <c r="R490" t="s">
        <v>2039</v>
      </c>
      <c r="S490" s="7">
        <f t="shared" si="30"/>
        <v>42403.25</v>
      </c>
      <c r="T490" s="8">
        <f t="shared" si="31"/>
        <v>42420.25</v>
      </c>
    </row>
    <row r="491" spans="1:20" x14ac:dyDescent="0.3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28"/>
        <v>1.015108695652174</v>
      </c>
      <c r="G491" t="s">
        <v>20</v>
      </c>
      <c r="H491">
        <v>85</v>
      </c>
      <c r="I491">
        <f t="shared" si="29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t="b">
        <v>0</v>
      </c>
      <c r="O491" t="b">
        <v>0</v>
      </c>
      <c r="P491" t="s">
        <v>65</v>
      </c>
      <c r="Q491" t="s">
        <v>2036</v>
      </c>
      <c r="R491" t="s">
        <v>2045</v>
      </c>
      <c r="S491" s="7">
        <f t="shared" si="30"/>
        <v>40406.208333333336</v>
      </c>
      <c r="T491" s="8">
        <f t="shared" si="31"/>
        <v>40411.208333333336</v>
      </c>
    </row>
    <row r="492" spans="1:20" x14ac:dyDescent="0.3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28"/>
        <v>1.915</v>
      </c>
      <c r="G492" t="s">
        <v>20</v>
      </c>
      <c r="H492">
        <v>144</v>
      </c>
      <c r="I492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1029</v>
      </c>
      <c r="Q492" t="s">
        <v>2063</v>
      </c>
      <c r="R492" t="s">
        <v>2064</v>
      </c>
      <c r="S492" s="7">
        <f t="shared" si="30"/>
        <v>43786.25</v>
      </c>
      <c r="T492" s="8">
        <f t="shared" si="31"/>
        <v>43793.25</v>
      </c>
    </row>
    <row r="493" spans="1:20" ht="31" x14ac:dyDescent="0.3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28"/>
        <v>3.0534683098591549</v>
      </c>
      <c r="G493" t="s">
        <v>20</v>
      </c>
      <c r="H493">
        <v>2443</v>
      </c>
      <c r="I493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">
        <v>2032</v>
      </c>
      <c r="R493" t="s">
        <v>2033</v>
      </c>
      <c r="S493" s="7">
        <f t="shared" si="30"/>
        <v>41456.208333333336</v>
      </c>
      <c r="T493" s="8">
        <f t="shared" si="31"/>
        <v>41482.208333333336</v>
      </c>
    </row>
    <row r="494" spans="1:20" x14ac:dyDescent="0.3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28"/>
        <v>0.23995287958115183</v>
      </c>
      <c r="G494" t="s">
        <v>74</v>
      </c>
      <c r="H494">
        <v>595</v>
      </c>
      <c r="I494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100</v>
      </c>
      <c r="Q494" t="s">
        <v>2040</v>
      </c>
      <c r="R494" t="s">
        <v>2051</v>
      </c>
      <c r="S494" s="7">
        <f t="shared" si="30"/>
        <v>40336.208333333336</v>
      </c>
      <c r="T494" s="8">
        <f t="shared" si="31"/>
        <v>40371.208333333336</v>
      </c>
    </row>
    <row r="495" spans="1:20" x14ac:dyDescent="0.3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28"/>
        <v>7.2377777777777776</v>
      </c>
      <c r="G495" t="s">
        <v>20</v>
      </c>
      <c r="H495">
        <v>64</v>
      </c>
      <c r="I495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122</v>
      </c>
      <c r="Q495" t="s">
        <v>2053</v>
      </c>
      <c r="R495" t="s">
        <v>2054</v>
      </c>
      <c r="S495" s="7">
        <f t="shared" si="30"/>
        <v>43645.208333333328</v>
      </c>
      <c r="T495" s="8">
        <f t="shared" si="31"/>
        <v>43658.208333333328</v>
      </c>
    </row>
    <row r="496" spans="1:20" ht="31" x14ac:dyDescent="0.3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28"/>
        <v>5.4736000000000002</v>
      </c>
      <c r="G496" t="s">
        <v>20</v>
      </c>
      <c r="H496">
        <v>268</v>
      </c>
      <c r="I496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65</v>
      </c>
      <c r="Q496" t="s">
        <v>2036</v>
      </c>
      <c r="R496" t="s">
        <v>2045</v>
      </c>
      <c r="S496" s="7">
        <f t="shared" si="30"/>
        <v>40990.208333333336</v>
      </c>
      <c r="T496" s="8">
        <f t="shared" si="31"/>
        <v>40991.208333333336</v>
      </c>
    </row>
    <row r="497" spans="1:20" x14ac:dyDescent="0.3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28"/>
        <v>4.1449999999999996</v>
      </c>
      <c r="G497" t="s">
        <v>20</v>
      </c>
      <c r="H497">
        <v>195</v>
      </c>
      <c r="I497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">
        <v>2038</v>
      </c>
      <c r="R497" t="s">
        <v>2039</v>
      </c>
      <c r="S497" s="7">
        <f t="shared" si="30"/>
        <v>41800.208333333336</v>
      </c>
      <c r="T497" s="8">
        <f t="shared" si="31"/>
        <v>41804.208333333336</v>
      </c>
    </row>
    <row r="498" spans="1:20" x14ac:dyDescent="0.3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28"/>
        <v>9.0696409140369975E-3</v>
      </c>
      <c r="G498" t="s">
        <v>14</v>
      </c>
      <c r="H498">
        <v>54</v>
      </c>
      <c r="I498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71</v>
      </c>
      <c r="Q498" t="s">
        <v>2040</v>
      </c>
      <c r="R498" t="s">
        <v>2048</v>
      </c>
      <c r="S498" s="7">
        <f t="shared" si="30"/>
        <v>42876.208333333328</v>
      </c>
      <c r="T498" s="8">
        <f t="shared" si="31"/>
        <v>42893.208333333328</v>
      </c>
    </row>
    <row r="499" spans="1:20" x14ac:dyDescent="0.3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28"/>
        <v>0.34173469387755101</v>
      </c>
      <c r="G499" t="s">
        <v>14</v>
      </c>
      <c r="H499">
        <v>120</v>
      </c>
      <c r="I499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65</v>
      </c>
      <c r="Q499" t="s">
        <v>2036</v>
      </c>
      <c r="R499" t="s">
        <v>2045</v>
      </c>
      <c r="S499" s="7">
        <f t="shared" si="30"/>
        <v>42724.25</v>
      </c>
      <c r="T499" s="8">
        <f t="shared" si="31"/>
        <v>42724.25</v>
      </c>
    </row>
    <row r="500" spans="1:20" x14ac:dyDescent="0.3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28"/>
        <v>0.239488107549121</v>
      </c>
      <c r="G500" t="s">
        <v>14</v>
      </c>
      <c r="H500">
        <v>579</v>
      </c>
      <c r="I500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">
        <v>2036</v>
      </c>
      <c r="R500" t="s">
        <v>2037</v>
      </c>
      <c r="S500" s="7">
        <f t="shared" si="30"/>
        <v>42005.25</v>
      </c>
      <c r="T500" s="8">
        <f t="shared" si="31"/>
        <v>42007.25</v>
      </c>
    </row>
    <row r="501" spans="1:20" ht="31" x14ac:dyDescent="0.3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28"/>
        <v>0.48072649572649573</v>
      </c>
      <c r="G501" t="s">
        <v>14</v>
      </c>
      <c r="H501">
        <v>2072</v>
      </c>
      <c r="I501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">
        <v>2040</v>
      </c>
      <c r="R501" t="s">
        <v>2041</v>
      </c>
      <c r="S501" s="7">
        <f t="shared" si="30"/>
        <v>42444.208333333328</v>
      </c>
      <c r="T501" s="8">
        <f t="shared" si="31"/>
        <v>42449.208333333328</v>
      </c>
    </row>
    <row r="502" spans="1:20" x14ac:dyDescent="0.3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28"/>
        <v>0</v>
      </c>
      <c r="G502" t="s">
        <v>14</v>
      </c>
      <c r="H502">
        <v>0</v>
      </c>
      <c r="I502" t="str">
        <f t="shared" si="29"/>
        <v>0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">
        <v>2038</v>
      </c>
      <c r="R502" t="s">
        <v>2039</v>
      </c>
      <c r="S502" s="7">
        <f t="shared" si="30"/>
        <v>41395.208333333336</v>
      </c>
      <c r="T502" s="8">
        <f t="shared" si="31"/>
        <v>41423.208333333336</v>
      </c>
    </row>
    <row r="503" spans="1:20" x14ac:dyDescent="0.3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28"/>
        <v>0.70145182291666663</v>
      </c>
      <c r="G503" t="s">
        <v>14</v>
      </c>
      <c r="H503">
        <v>1796</v>
      </c>
      <c r="I503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">
        <v>2040</v>
      </c>
      <c r="R503" t="s">
        <v>2041</v>
      </c>
      <c r="S503" s="7">
        <f t="shared" si="30"/>
        <v>41345.208333333336</v>
      </c>
      <c r="T503" s="8">
        <f t="shared" si="31"/>
        <v>41347.208333333336</v>
      </c>
    </row>
    <row r="504" spans="1:20" x14ac:dyDescent="0.3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28"/>
        <v>5.2992307692307694</v>
      </c>
      <c r="G504" t="s">
        <v>20</v>
      </c>
      <c r="H504">
        <v>186</v>
      </c>
      <c r="I504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89</v>
      </c>
      <c r="Q504" t="s">
        <v>2049</v>
      </c>
      <c r="R504" t="s">
        <v>2050</v>
      </c>
      <c r="S504" s="7">
        <f t="shared" si="30"/>
        <v>41117.208333333336</v>
      </c>
      <c r="T504" s="8">
        <f t="shared" si="31"/>
        <v>41146.208333333336</v>
      </c>
    </row>
    <row r="505" spans="1:20" ht="31" x14ac:dyDescent="0.3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28"/>
        <v>1.8032549019607844</v>
      </c>
      <c r="G505" t="s">
        <v>20</v>
      </c>
      <c r="H505">
        <v>460</v>
      </c>
      <c r="I505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">
        <v>2040</v>
      </c>
      <c r="R505" t="s">
        <v>2043</v>
      </c>
      <c r="S505" s="7">
        <f t="shared" si="30"/>
        <v>42186.208333333328</v>
      </c>
      <c r="T505" s="8">
        <f t="shared" si="31"/>
        <v>42206.208333333328</v>
      </c>
    </row>
    <row r="506" spans="1:20" x14ac:dyDescent="0.3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28"/>
        <v>0.92320000000000002</v>
      </c>
      <c r="G506" t="s">
        <v>14</v>
      </c>
      <c r="H506">
        <v>62</v>
      </c>
      <c r="I506">
        <f t="shared" si="29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">
        <v>2034</v>
      </c>
      <c r="R506" t="s">
        <v>2035</v>
      </c>
      <c r="S506" s="7">
        <f t="shared" si="30"/>
        <v>42142.208333333328</v>
      </c>
      <c r="T506" s="8">
        <f t="shared" si="31"/>
        <v>42143.208333333328</v>
      </c>
    </row>
    <row r="507" spans="1:20" x14ac:dyDescent="0.3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28"/>
        <v>0.13901001112347053</v>
      </c>
      <c r="G507" t="s">
        <v>14</v>
      </c>
      <c r="H507">
        <v>347</v>
      </c>
      <c r="I507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">
        <v>2046</v>
      </c>
      <c r="R507" t="s">
        <v>2055</v>
      </c>
      <c r="S507" s="7">
        <f t="shared" si="30"/>
        <v>41341.25</v>
      </c>
      <c r="T507" s="8">
        <f t="shared" si="31"/>
        <v>41383.208333333336</v>
      </c>
    </row>
    <row r="508" spans="1:20" x14ac:dyDescent="0.3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28"/>
        <v>9.2707777777777771</v>
      </c>
      <c r="G508" t="s">
        <v>20</v>
      </c>
      <c r="H508">
        <v>2528</v>
      </c>
      <c r="I508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">
        <v>2038</v>
      </c>
      <c r="R508" t="s">
        <v>2039</v>
      </c>
      <c r="S508" s="7">
        <f t="shared" si="30"/>
        <v>43062.25</v>
      </c>
      <c r="T508" s="8">
        <f t="shared" si="31"/>
        <v>43079.25</v>
      </c>
    </row>
    <row r="509" spans="1:20" ht="31" x14ac:dyDescent="0.3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28"/>
        <v>0.39857142857142858</v>
      </c>
      <c r="G509" t="s">
        <v>14</v>
      </c>
      <c r="H509">
        <v>19</v>
      </c>
      <c r="I509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">
        <v>2036</v>
      </c>
      <c r="R509" t="s">
        <v>2037</v>
      </c>
      <c r="S509" s="7">
        <f t="shared" si="30"/>
        <v>41373.208333333336</v>
      </c>
      <c r="T509" s="8">
        <f t="shared" si="31"/>
        <v>41422.208333333336</v>
      </c>
    </row>
    <row r="510" spans="1:20" x14ac:dyDescent="0.3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28"/>
        <v>1.1222929936305732</v>
      </c>
      <c r="G510" t="s">
        <v>20</v>
      </c>
      <c r="H510">
        <v>3657</v>
      </c>
      <c r="I510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">
        <v>2038</v>
      </c>
      <c r="R510" t="s">
        <v>2039</v>
      </c>
      <c r="S510" s="7">
        <f t="shared" si="30"/>
        <v>43310.208333333328</v>
      </c>
      <c r="T510" s="8">
        <f t="shared" si="31"/>
        <v>43331.208333333328</v>
      </c>
    </row>
    <row r="511" spans="1:20" x14ac:dyDescent="0.3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28"/>
        <v>0.70925816023738875</v>
      </c>
      <c r="G511" t="s">
        <v>14</v>
      </c>
      <c r="H511">
        <v>1258</v>
      </c>
      <c r="I511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">
        <v>2038</v>
      </c>
      <c r="R511" t="s">
        <v>2039</v>
      </c>
      <c r="S511" s="7">
        <f t="shared" si="30"/>
        <v>41034.208333333336</v>
      </c>
      <c r="T511" s="8">
        <f t="shared" si="31"/>
        <v>41044.208333333336</v>
      </c>
    </row>
    <row r="512" spans="1:20" x14ac:dyDescent="0.3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28"/>
        <v>1.1908974358974358</v>
      </c>
      <c r="G512" t="s">
        <v>20</v>
      </c>
      <c r="H512">
        <v>131</v>
      </c>
      <c r="I512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">
        <v>2040</v>
      </c>
      <c r="R512" t="s">
        <v>2043</v>
      </c>
      <c r="S512" s="7">
        <f t="shared" si="30"/>
        <v>43251.208333333328</v>
      </c>
      <c r="T512" s="8">
        <f t="shared" si="31"/>
        <v>43275.208333333328</v>
      </c>
    </row>
    <row r="513" spans="1:20" x14ac:dyDescent="0.3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28"/>
        <v>0.24017591339648173</v>
      </c>
      <c r="G513" t="s">
        <v>14</v>
      </c>
      <c r="H513">
        <v>362</v>
      </c>
      <c r="I513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">
        <v>2038</v>
      </c>
      <c r="R513" t="s">
        <v>2039</v>
      </c>
      <c r="S513" s="7">
        <f t="shared" si="30"/>
        <v>43671.208333333328</v>
      </c>
      <c r="T513" s="8">
        <f t="shared" si="31"/>
        <v>43681.208333333328</v>
      </c>
    </row>
    <row r="514" spans="1:20" x14ac:dyDescent="0.3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28"/>
        <v>1.3931868131868133</v>
      </c>
      <c r="G514" t="s">
        <v>20</v>
      </c>
      <c r="H514">
        <v>239</v>
      </c>
      <c r="I514">
        <f t="shared" si="29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89</v>
      </c>
      <c r="Q514" t="s">
        <v>2049</v>
      </c>
      <c r="R514" t="s">
        <v>2050</v>
      </c>
      <c r="S514" s="7">
        <f t="shared" si="30"/>
        <v>41825.208333333336</v>
      </c>
      <c r="T514" s="8">
        <f t="shared" si="31"/>
        <v>41826.208333333336</v>
      </c>
    </row>
    <row r="515" spans="1:20" x14ac:dyDescent="0.3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ref="F515:F578" si="32">E515/D515</f>
        <v>0.39277108433734942</v>
      </c>
      <c r="G515" t="s">
        <v>74</v>
      </c>
      <c r="H515">
        <v>35</v>
      </c>
      <c r="I515">
        <f t="shared" ref="I515:I578" si="33">IFERROR(E515/H515, "0")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269</v>
      </c>
      <c r="Q515" t="s">
        <v>2040</v>
      </c>
      <c r="R515" t="s">
        <v>2059</v>
      </c>
      <c r="S515" s="7">
        <f t="shared" ref="S515:S578" si="34">(((L515/60)/60)/24)+DATE(1970,1,1)</f>
        <v>40430.208333333336</v>
      </c>
      <c r="T515" s="8">
        <f t="shared" ref="T515:T578" si="35">(((M515/60)/60)/24)+DATE(1970,1,1)</f>
        <v>40432.208333333336</v>
      </c>
    </row>
    <row r="516" spans="1:20" x14ac:dyDescent="0.3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si="32"/>
        <v>0.22439077144917088</v>
      </c>
      <c r="G516" t="s">
        <v>74</v>
      </c>
      <c r="H516">
        <v>528</v>
      </c>
      <c r="I516">
        <f t="shared" si="33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">
        <v>2034</v>
      </c>
      <c r="R516" t="s">
        <v>2035</v>
      </c>
      <c r="S516" s="7">
        <f t="shared" si="34"/>
        <v>41614.25</v>
      </c>
      <c r="T516" s="8">
        <f t="shared" si="35"/>
        <v>41619.25</v>
      </c>
    </row>
    <row r="517" spans="1:20" x14ac:dyDescent="0.3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32"/>
        <v>0.55779069767441858</v>
      </c>
      <c r="G517" t="s">
        <v>14</v>
      </c>
      <c r="H517">
        <v>133</v>
      </c>
      <c r="I517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">
        <v>2038</v>
      </c>
      <c r="R517" t="s">
        <v>2039</v>
      </c>
      <c r="S517" s="7">
        <f t="shared" si="34"/>
        <v>40900.25</v>
      </c>
      <c r="T517" s="8">
        <f t="shared" si="35"/>
        <v>40902.25</v>
      </c>
    </row>
    <row r="518" spans="1:20" x14ac:dyDescent="0.3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32"/>
        <v>0.42523125996810207</v>
      </c>
      <c r="G518" t="s">
        <v>14</v>
      </c>
      <c r="H518">
        <v>846</v>
      </c>
      <c r="I518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68</v>
      </c>
      <c r="Q518" t="s">
        <v>2046</v>
      </c>
      <c r="R518" t="s">
        <v>2047</v>
      </c>
      <c r="S518" s="7">
        <f t="shared" si="34"/>
        <v>40396.208333333336</v>
      </c>
      <c r="T518" s="8">
        <f t="shared" si="35"/>
        <v>40434.208333333336</v>
      </c>
    </row>
    <row r="519" spans="1:20" x14ac:dyDescent="0.3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32"/>
        <v>1.1200000000000001</v>
      </c>
      <c r="G519" t="s">
        <v>20</v>
      </c>
      <c r="H519">
        <v>78</v>
      </c>
      <c r="I519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">
        <v>2032</v>
      </c>
      <c r="R519" t="s">
        <v>2033</v>
      </c>
      <c r="S519" s="7">
        <f t="shared" si="34"/>
        <v>42860.208333333328</v>
      </c>
      <c r="T519" s="8">
        <f t="shared" si="35"/>
        <v>42865.208333333328</v>
      </c>
    </row>
    <row r="520" spans="1:20" ht="31" x14ac:dyDescent="0.3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32"/>
        <v>7.0681818181818179E-2</v>
      </c>
      <c r="G520" t="s">
        <v>14</v>
      </c>
      <c r="H520">
        <v>10</v>
      </c>
      <c r="I520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71</v>
      </c>
      <c r="Q520" t="s">
        <v>2040</v>
      </c>
      <c r="R520" t="s">
        <v>2048</v>
      </c>
      <c r="S520" s="7">
        <f t="shared" si="34"/>
        <v>43154.25</v>
      </c>
      <c r="T520" s="8">
        <f t="shared" si="35"/>
        <v>43156.25</v>
      </c>
    </row>
    <row r="521" spans="1:20" x14ac:dyDescent="0.3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32"/>
        <v>1.0174563871693867</v>
      </c>
      <c r="G521" t="s">
        <v>20</v>
      </c>
      <c r="H521">
        <v>1773</v>
      </c>
      <c r="I521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">
        <v>2034</v>
      </c>
      <c r="R521" t="s">
        <v>2035</v>
      </c>
      <c r="S521" s="7">
        <f t="shared" si="34"/>
        <v>42012.25</v>
      </c>
      <c r="T521" s="8">
        <f t="shared" si="35"/>
        <v>42026.25</v>
      </c>
    </row>
    <row r="522" spans="1:20" x14ac:dyDescent="0.3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32"/>
        <v>4.2575000000000003</v>
      </c>
      <c r="G522" t="s">
        <v>20</v>
      </c>
      <c r="H522">
        <v>32</v>
      </c>
      <c r="I522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">
        <v>2038</v>
      </c>
      <c r="R522" t="s">
        <v>2039</v>
      </c>
      <c r="S522" s="7">
        <f t="shared" si="34"/>
        <v>43574.208333333328</v>
      </c>
      <c r="T522" s="8">
        <f t="shared" si="35"/>
        <v>43577.208333333328</v>
      </c>
    </row>
    <row r="523" spans="1:20" x14ac:dyDescent="0.3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32"/>
        <v>1.4553947368421052</v>
      </c>
      <c r="G523" t="s">
        <v>20</v>
      </c>
      <c r="H523">
        <v>369</v>
      </c>
      <c r="I523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">
        <v>2040</v>
      </c>
      <c r="R523" t="s">
        <v>2043</v>
      </c>
      <c r="S523" s="7">
        <f t="shared" si="34"/>
        <v>42605.208333333328</v>
      </c>
      <c r="T523" s="8">
        <f t="shared" si="35"/>
        <v>42611.208333333328</v>
      </c>
    </row>
    <row r="524" spans="1:20" ht="31" x14ac:dyDescent="0.3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32"/>
        <v>0.32453465346534655</v>
      </c>
      <c r="G524" t="s">
        <v>14</v>
      </c>
      <c r="H524">
        <v>191</v>
      </c>
      <c r="I524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100</v>
      </c>
      <c r="Q524" t="s">
        <v>2040</v>
      </c>
      <c r="R524" t="s">
        <v>2051</v>
      </c>
      <c r="S524" s="7">
        <f t="shared" si="34"/>
        <v>41093.208333333336</v>
      </c>
      <c r="T524" s="8">
        <f t="shared" si="35"/>
        <v>41105.208333333336</v>
      </c>
    </row>
    <row r="525" spans="1:20" x14ac:dyDescent="0.3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32"/>
        <v>7.003333333333333</v>
      </c>
      <c r="G525" t="s">
        <v>20</v>
      </c>
      <c r="H525">
        <v>89</v>
      </c>
      <c r="I525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100</v>
      </c>
      <c r="Q525" t="s">
        <v>2040</v>
      </c>
      <c r="R525" t="s">
        <v>2051</v>
      </c>
      <c r="S525" s="7">
        <f t="shared" si="34"/>
        <v>40241.25</v>
      </c>
      <c r="T525" s="8">
        <f t="shared" si="35"/>
        <v>40246.25</v>
      </c>
    </row>
    <row r="526" spans="1:20" x14ac:dyDescent="0.3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32"/>
        <v>0.83904860392967939</v>
      </c>
      <c r="G526" t="s">
        <v>14</v>
      </c>
      <c r="H526">
        <v>1979</v>
      </c>
      <c r="I526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">
        <v>2038</v>
      </c>
      <c r="R526" t="s">
        <v>2039</v>
      </c>
      <c r="S526" s="7">
        <f t="shared" si="34"/>
        <v>40294.208333333336</v>
      </c>
      <c r="T526" s="8">
        <f t="shared" si="35"/>
        <v>40307.208333333336</v>
      </c>
    </row>
    <row r="527" spans="1:20" x14ac:dyDescent="0.3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32"/>
        <v>0.84190476190476193</v>
      </c>
      <c r="G527" t="s">
        <v>14</v>
      </c>
      <c r="H527">
        <v>63</v>
      </c>
      <c r="I527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65</v>
      </c>
      <c r="Q527" t="s">
        <v>2036</v>
      </c>
      <c r="R527" t="s">
        <v>2045</v>
      </c>
      <c r="S527" s="7">
        <f t="shared" si="34"/>
        <v>40505.25</v>
      </c>
      <c r="T527" s="8">
        <f t="shared" si="35"/>
        <v>40509.25</v>
      </c>
    </row>
    <row r="528" spans="1:20" ht="31" x14ac:dyDescent="0.3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32"/>
        <v>1.5595180722891566</v>
      </c>
      <c r="G528" t="s">
        <v>20</v>
      </c>
      <c r="H528">
        <v>147</v>
      </c>
      <c r="I528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">
        <v>2038</v>
      </c>
      <c r="R528" t="s">
        <v>2039</v>
      </c>
      <c r="S528" s="7">
        <f t="shared" si="34"/>
        <v>42364.25</v>
      </c>
      <c r="T528" s="8">
        <f t="shared" si="35"/>
        <v>42401.25</v>
      </c>
    </row>
    <row r="529" spans="1:20" x14ac:dyDescent="0.3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32"/>
        <v>0.99619450317124736</v>
      </c>
      <c r="G529" t="s">
        <v>14</v>
      </c>
      <c r="H529">
        <v>6080</v>
      </c>
      <c r="I529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71</v>
      </c>
      <c r="Q529" t="s">
        <v>2040</v>
      </c>
      <c r="R529" t="s">
        <v>2048</v>
      </c>
      <c r="S529" s="7">
        <f t="shared" si="34"/>
        <v>42405.25</v>
      </c>
      <c r="T529" s="8">
        <f t="shared" si="35"/>
        <v>42441.25</v>
      </c>
    </row>
    <row r="530" spans="1:20" x14ac:dyDescent="0.3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32"/>
        <v>0.80300000000000005</v>
      </c>
      <c r="G530" t="s">
        <v>14</v>
      </c>
      <c r="H530">
        <v>80</v>
      </c>
      <c r="I530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60</v>
      </c>
      <c r="Q530" t="s">
        <v>2034</v>
      </c>
      <c r="R530" t="s">
        <v>2044</v>
      </c>
      <c r="S530" s="7">
        <f t="shared" si="34"/>
        <v>41601.25</v>
      </c>
      <c r="T530" s="8">
        <f t="shared" si="35"/>
        <v>41646.25</v>
      </c>
    </row>
    <row r="531" spans="1:20" x14ac:dyDescent="0.3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32"/>
        <v>0.11254901960784314</v>
      </c>
      <c r="G531" t="s">
        <v>14</v>
      </c>
      <c r="H531">
        <v>9</v>
      </c>
      <c r="I531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89</v>
      </c>
      <c r="Q531" t="s">
        <v>2049</v>
      </c>
      <c r="R531" t="s">
        <v>2050</v>
      </c>
      <c r="S531" s="7">
        <f t="shared" si="34"/>
        <v>41769.208333333336</v>
      </c>
      <c r="T531" s="8">
        <f t="shared" si="35"/>
        <v>41797.208333333336</v>
      </c>
    </row>
    <row r="532" spans="1:20" ht="31" x14ac:dyDescent="0.3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32"/>
        <v>0.91740952380952379</v>
      </c>
      <c r="G532" t="s">
        <v>14</v>
      </c>
      <c r="H532">
        <v>1784</v>
      </c>
      <c r="I532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119</v>
      </c>
      <c r="Q532" t="s">
        <v>2046</v>
      </c>
      <c r="R532" t="s">
        <v>2052</v>
      </c>
      <c r="S532" s="7">
        <f t="shared" si="34"/>
        <v>40421.208333333336</v>
      </c>
      <c r="T532" s="8">
        <f t="shared" si="35"/>
        <v>40435.208333333336</v>
      </c>
    </row>
    <row r="533" spans="1:20" ht="31" x14ac:dyDescent="0.3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32"/>
        <v>0.95521156936261387</v>
      </c>
      <c r="G533" t="s">
        <v>47</v>
      </c>
      <c r="H533">
        <v>3640</v>
      </c>
      <c r="I533">
        <f t="shared" si="3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t="b">
        <v>0</v>
      </c>
      <c r="O533" t="b">
        <v>0</v>
      </c>
      <c r="P533" t="s">
        <v>89</v>
      </c>
      <c r="Q533" t="s">
        <v>2049</v>
      </c>
      <c r="R533" t="s">
        <v>2050</v>
      </c>
      <c r="S533" s="7">
        <f t="shared" si="34"/>
        <v>41589.25</v>
      </c>
      <c r="T533" s="8">
        <f t="shared" si="35"/>
        <v>41645.25</v>
      </c>
    </row>
    <row r="534" spans="1:20" x14ac:dyDescent="0.3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32"/>
        <v>5.0287499999999996</v>
      </c>
      <c r="G534" t="s">
        <v>20</v>
      </c>
      <c r="H534">
        <v>126</v>
      </c>
      <c r="I534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">
        <v>2038</v>
      </c>
      <c r="R534" t="s">
        <v>2039</v>
      </c>
      <c r="S534" s="7">
        <f t="shared" si="34"/>
        <v>43125.25</v>
      </c>
      <c r="T534" s="8">
        <f t="shared" si="35"/>
        <v>43126.25</v>
      </c>
    </row>
    <row r="535" spans="1:20" x14ac:dyDescent="0.3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32"/>
        <v>1.5924394463667819</v>
      </c>
      <c r="G535" t="s">
        <v>20</v>
      </c>
      <c r="H535">
        <v>2218</v>
      </c>
      <c r="I535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60</v>
      </c>
      <c r="Q535" t="s">
        <v>2034</v>
      </c>
      <c r="R535" t="s">
        <v>2044</v>
      </c>
      <c r="S535" s="7">
        <f t="shared" si="34"/>
        <v>41479.208333333336</v>
      </c>
      <c r="T535" s="8">
        <f t="shared" si="35"/>
        <v>41515.208333333336</v>
      </c>
    </row>
    <row r="536" spans="1:20" x14ac:dyDescent="0.3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32"/>
        <v>0.15022446689113356</v>
      </c>
      <c r="G536" t="s">
        <v>14</v>
      </c>
      <c r="H536">
        <v>243</v>
      </c>
      <c r="I536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">
        <v>2040</v>
      </c>
      <c r="R536" t="s">
        <v>2043</v>
      </c>
      <c r="S536" s="7">
        <f t="shared" si="34"/>
        <v>43329.208333333328</v>
      </c>
      <c r="T536" s="8">
        <f t="shared" si="35"/>
        <v>43330.208333333328</v>
      </c>
    </row>
    <row r="537" spans="1:20" x14ac:dyDescent="0.3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32"/>
        <v>4.820384615384615</v>
      </c>
      <c r="G537" t="s">
        <v>20</v>
      </c>
      <c r="H537">
        <v>202</v>
      </c>
      <c r="I537">
        <f t="shared" si="3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">
        <v>2038</v>
      </c>
      <c r="R537" t="s">
        <v>2039</v>
      </c>
      <c r="S537" s="7">
        <f t="shared" si="34"/>
        <v>43259.208333333328</v>
      </c>
      <c r="T537" s="8">
        <f t="shared" si="35"/>
        <v>43261.208333333328</v>
      </c>
    </row>
    <row r="538" spans="1:20" x14ac:dyDescent="0.3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32"/>
        <v>1.4996938775510205</v>
      </c>
      <c r="G538" t="s">
        <v>20</v>
      </c>
      <c r="H538">
        <v>140</v>
      </c>
      <c r="I538">
        <f t="shared" si="3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t="b">
        <v>0</v>
      </c>
      <c r="O538" t="b">
        <v>0</v>
      </c>
      <c r="P538" t="s">
        <v>119</v>
      </c>
      <c r="Q538" t="s">
        <v>2046</v>
      </c>
      <c r="R538" t="s">
        <v>2052</v>
      </c>
      <c r="S538" s="7">
        <f t="shared" si="34"/>
        <v>40414.208333333336</v>
      </c>
      <c r="T538" s="8">
        <f t="shared" si="35"/>
        <v>40440.208333333336</v>
      </c>
    </row>
    <row r="539" spans="1:20" x14ac:dyDescent="0.3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32"/>
        <v>1.1722156398104266</v>
      </c>
      <c r="G539" t="s">
        <v>20</v>
      </c>
      <c r="H539">
        <v>1052</v>
      </c>
      <c r="I539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">
        <v>2040</v>
      </c>
      <c r="R539" t="s">
        <v>2041</v>
      </c>
      <c r="S539" s="7">
        <f t="shared" si="34"/>
        <v>43342.208333333328</v>
      </c>
      <c r="T539" s="8">
        <f t="shared" si="35"/>
        <v>43365.208333333328</v>
      </c>
    </row>
    <row r="540" spans="1:20" x14ac:dyDescent="0.3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32"/>
        <v>0.37695968274950431</v>
      </c>
      <c r="G540" t="s">
        <v>14</v>
      </c>
      <c r="H540">
        <v>1296</v>
      </c>
      <c r="I540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292</v>
      </c>
      <c r="Q540" t="s">
        <v>2049</v>
      </c>
      <c r="R540" t="s">
        <v>2060</v>
      </c>
      <c r="S540" s="7">
        <f t="shared" si="34"/>
        <v>41539.208333333336</v>
      </c>
      <c r="T540" s="8">
        <f t="shared" si="35"/>
        <v>41555.208333333336</v>
      </c>
    </row>
    <row r="541" spans="1:20" x14ac:dyDescent="0.3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32"/>
        <v>0.72653061224489801</v>
      </c>
      <c r="G541" t="s">
        <v>14</v>
      </c>
      <c r="H541">
        <v>77</v>
      </c>
      <c r="I541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">
        <v>2032</v>
      </c>
      <c r="R541" t="s">
        <v>2033</v>
      </c>
      <c r="S541" s="7">
        <f t="shared" si="34"/>
        <v>43647.208333333328</v>
      </c>
      <c r="T541" s="8">
        <f t="shared" si="35"/>
        <v>43653.208333333328</v>
      </c>
    </row>
    <row r="542" spans="1:20" x14ac:dyDescent="0.3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32"/>
        <v>2.6598113207547169</v>
      </c>
      <c r="G542" t="s">
        <v>20</v>
      </c>
      <c r="H542">
        <v>247</v>
      </c>
      <c r="I542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122</v>
      </c>
      <c r="Q542" t="s">
        <v>2053</v>
      </c>
      <c r="R542" t="s">
        <v>2054</v>
      </c>
      <c r="S542" s="7">
        <f t="shared" si="34"/>
        <v>43225.208333333328</v>
      </c>
      <c r="T542" s="8">
        <f t="shared" si="35"/>
        <v>43247.208333333328</v>
      </c>
    </row>
    <row r="543" spans="1:20" x14ac:dyDescent="0.3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32"/>
        <v>0.24205617977528091</v>
      </c>
      <c r="G543" t="s">
        <v>14</v>
      </c>
      <c r="H543">
        <v>395</v>
      </c>
      <c r="I543">
        <f t="shared" si="3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t="b">
        <v>0</v>
      </c>
      <c r="O543" t="b">
        <v>0</v>
      </c>
      <c r="P543" t="s">
        <v>292</v>
      </c>
      <c r="Q543" t="s">
        <v>2049</v>
      </c>
      <c r="R543" t="s">
        <v>2060</v>
      </c>
      <c r="S543" s="7">
        <f t="shared" si="34"/>
        <v>42165.208333333328</v>
      </c>
      <c r="T543" s="8">
        <f t="shared" si="35"/>
        <v>42191.208333333328</v>
      </c>
    </row>
    <row r="544" spans="1:20" x14ac:dyDescent="0.3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32"/>
        <v>2.5064935064935064E-2</v>
      </c>
      <c r="G544" t="s">
        <v>14</v>
      </c>
      <c r="H544">
        <v>49</v>
      </c>
      <c r="I544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60</v>
      </c>
      <c r="Q544" t="s">
        <v>2034</v>
      </c>
      <c r="R544" t="s">
        <v>2044</v>
      </c>
      <c r="S544" s="7">
        <f t="shared" si="34"/>
        <v>42391.25</v>
      </c>
      <c r="T544" s="8">
        <f t="shared" si="35"/>
        <v>42421.25</v>
      </c>
    </row>
    <row r="545" spans="1:20" x14ac:dyDescent="0.3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32"/>
        <v>0.1632979976442874</v>
      </c>
      <c r="G545" t="s">
        <v>14</v>
      </c>
      <c r="H545">
        <v>180</v>
      </c>
      <c r="I545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89</v>
      </c>
      <c r="Q545" t="s">
        <v>2049</v>
      </c>
      <c r="R545" t="s">
        <v>2050</v>
      </c>
      <c r="S545" s="7">
        <f t="shared" si="34"/>
        <v>41528.208333333336</v>
      </c>
      <c r="T545" s="8">
        <f t="shared" si="35"/>
        <v>41543.208333333336</v>
      </c>
    </row>
    <row r="546" spans="1:20" ht="31" x14ac:dyDescent="0.3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32"/>
        <v>2.7650000000000001</v>
      </c>
      <c r="G546" t="s">
        <v>20</v>
      </c>
      <c r="H546">
        <v>84</v>
      </c>
      <c r="I546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">
        <v>2034</v>
      </c>
      <c r="R546" t="s">
        <v>2035</v>
      </c>
      <c r="S546" s="7">
        <f t="shared" si="34"/>
        <v>42377.25</v>
      </c>
      <c r="T546" s="8">
        <f t="shared" si="35"/>
        <v>42390.25</v>
      </c>
    </row>
    <row r="547" spans="1:20" x14ac:dyDescent="0.3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32"/>
        <v>0.88803571428571426</v>
      </c>
      <c r="G547" t="s">
        <v>14</v>
      </c>
      <c r="H547">
        <v>2690</v>
      </c>
      <c r="I547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">
        <v>2038</v>
      </c>
      <c r="R547" t="s">
        <v>2039</v>
      </c>
      <c r="S547" s="7">
        <f t="shared" si="34"/>
        <v>43824.25</v>
      </c>
      <c r="T547" s="8">
        <f t="shared" si="35"/>
        <v>43844.25</v>
      </c>
    </row>
    <row r="548" spans="1:20" x14ac:dyDescent="0.3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32"/>
        <v>1.6357142857142857</v>
      </c>
      <c r="G548" t="s">
        <v>20</v>
      </c>
      <c r="H548">
        <v>88</v>
      </c>
      <c r="I548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">
        <v>2038</v>
      </c>
      <c r="R548" t="s">
        <v>2039</v>
      </c>
      <c r="S548" s="7">
        <f t="shared" si="34"/>
        <v>43360.208333333328</v>
      </c>
      <c r="T548" s="8">
        <f t="shared" si="35"/>
        <v>43363.208333333328</v>
      </c>
    </row>
    <row r="549" spans="1:20" x14ac:dyDescent="0.3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32"/>
        <v>9.69</v>
      </c>
      <c r="G549" t="s">
        <v>20</v>
      </c>
      <c r="H549">
        <v>156</v>
      </c>
      <c r="I549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">
        <v>2040</v>
      </c>
      <c r="R549" t="s">
        <v>2043</v>
      </c>
      <c r="S549" s="7">
        <f t="shared" si="34"/>
        <v>42029.25</v>
      </c>
      <c r="T549" s="8">
        <f t="shared" si="35"/>
        <v>42041.25</v>
      </c>
    </row>
    <row r="550" spans="1:20" x14ac:dyDescent="0.3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32"/>
        <v>2.7091376701966716</v>
      </c>
      <c r="G550" t="s">
        <v>20</v>
      </c>
      <c r="H550">
        <v>2985</v>
      </c>
      <c r="I550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">
        <v>2038</v>
      </c>
      <c r="R550" t="s">
        <v>2039</v>
      </c>
      <c r="S550" s="7">
        <f t="shared" si="34"/>
        <v>42461.208333333328</v>
      </c>
      <c r="T550" s="8">
        <f t="shared" si="35"/>
        <v>42474.208333333328</v>
      </c>
    </row>
    <row r="551" spans="1:20" ht="31" x14ac:dyDescent="0.3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32"/>
        <v>2.8421355932203389</v>
      </c>
      <c r="G551" t="s">
        <v>20</v>
      </c>
      <c r="H551">
        <v>762</v>
      </c>
      <c r="I551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65</v>
      </c>
      <c r="Q551" t="s">
        <v>2036</v>
      </c>
      <c r="R551" t="s">
        <v>2045</v>
      </c>
      <c r="S551" s="7">
        <f t="shared" si="34"/>
        <v>41422.208333333336</v>
      </c>
      <c r="T551" s="8">
        <f t="shared" si="35"/>
        <v>41431.208333333336</v>
      </c>
    </row>
    <row r="552" spans="1:20" ht="31" x14ac:dyDescent="0.3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32"/>
        <v>0.04</v>
      </c>
      <c r="G552" t="s">
        <v>74</v>
      </c>
      <c r="H552">
        <v>1</v>
      </c>
      <c r="I552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t="b">
        <v>0</v>
      </c>
      <c r="O552" t="b">
        <v>0</v>
      </c>
      <c r="P552" t="s">
        <v>60</v>
      </c>
      <c r="Q552" t="s">
        <v>2034</v>
      </c>
      <c r="R552" t="s">
        <v>2044</v>
      </c>
      <c r="S552" s="7">
        <f t="shared" si="34"/>
        <v>40968.25</v>
      </c>
      <c r="T552" s="8">
        <f t="shared" si="35"/>
        <v>40989.208333333336</v>
      </c>
    </row>
    <row r="553" spans="1:20" x14ac:dyDescent="0.3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32"/>
        <v>0.58632981676846196</v>
      </c>
      <c r="G553" t="s">
        <v>14</v>
      </c>
      <c r="H553">
        <v>2779</v>
      </c>
      <c r="I553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">
        <v>2036</v>
      </c>
      <c r="R553" t="s">
        <v>2037</v>
      </c>
      <c r="S553" s="7">
        <f t="shared" si="34"/>
        <v>41993.25</v>
      </c>
      <c r="T553" s="8">
        <f t="shared" si="35"/>
        <v>42033.25</v>
      </c>
    </row>
    <row r="554" spans="1:20" x14ac:dyDescent="0.3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32"/>
        <v>0.98511111111111116</v>
      </c>
      <c r="G554" t="s">
        <v>14</v>
      </c>
      <c r="H554">
        <v>92</v>
      </c>
      <c r="I554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">
        <v>2038</v>
      </c>
      <c r="R554" t="s">
        <v>2039</v>
      </c>
      <c r="S554" s="7">
        <f t="shared" si="34"/>
        <v>42700.25</v>
      </c>
      <c r="T554" s="8">
        <f t="shared" si="35"/>
        <v>42702.25</v>
      </c>
    </row>
    <row r="555" spans="1:20" ht="31" x14ac:dyDescent="0.3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32"/>
        <v>0.43975381008206332</v>
      </c>
      <c r="G555" t="s">
        <v>14</v>
      </c>
      <c r="H555">
        <v>1028</v>
      </c>
      <c r="I555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">
        <v>2034</v>
      </c>
      <c r="R555" t="s">
        <v>2035</v>
      </c>
      <c r="S555" s="7">
        <f t="shared" si="34"/>
        <v>40545.25</v>
      </c>
      <c r="T555" s="8">
        <f t="shared" si="35"/>
        <v>40546.25</v>
      </c>
    </row>
    <row r="556" spans="1:20" ht="31" x14ac:dyDescent="0.3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32"/>
        <v>1.5166315789473683</v>
      </c>
      <c r="G556" t="s">
        <v>20</v>
      </c>
      <c r="H556">
        <v>554</v>
      </c>
      <c r="I556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60</v>
      </c>
      <c r="Q556" t="s">
        <v>2034</v>
      </c>
      <c r="R556" t="s">
        <v>2044</v>
      </c>
      <c r="S556" s="7">
        <f t="shared" si="34"/>
        <v>42723.25</v>
      </c>
      <c r="T556" s="8">
        <f t="shared" si="35"/>
        <v>42729.25</v>
      </c>
    </row>
    <row r="557" spans="1:20" x14ac:dyDescent="0.3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32"/>
        <v>2.2363492063492063</v>
      </c>
      <c r="G557" t="s">
        <v>20</v>
      </c>
      <c r="H557">
        <v>135</v>
      </c>
      <c r="I557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">
        <v>2034</v>
      </c>
      <c r="R557" t="s">
        <v>2035</v>
      </c>
      <c r="S557" s="7">
        <f t="shared" si="34"/>
        <v>41731.208333333336</v>
      </c>
      <c r="T557" s="8">
        <f t="shared" si="35"/>
        <v>41762.208333333336</v>
      </c>
    </row>
    <row r="558" spans="1:20" x14ac:dyDescent="0.3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32"/>
        <v>2.3975</v>
      </c>
      <c r="G558" t="s">
        <v>20</v>
      </c>
      <c r="H558">
        <v>122</v>
      </c>
      <c r="I558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206</v>
      </c>
      <c r="Q558" t="s">
        <v>2046</v>
      </c>
      <c r="R558" t="s">
        <v>2058</v>
      </c>
      <c r="S558" s="7">
        <f t="shared" si="34"/>
        <v>40792.208333333336</v>
      </c>
      <c r="T558" s="8">
        <f t="shared" si="35"/>
        <v>40799.208333333336</v>
      </c>
    </row>
    <row r="559" spans="1:20" x14ac:dyDescent="0.3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32"/>
        <v>1.9933333333333334</v>
      </c>
      <c r="G559" t="s">
        <v>20</v>
      </c>
      <c r="H559">
        <v>221</v>
      </c>
      <c r="I559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474</v>
      </c>
      <c r="Q559" t="s">
        <v>2040</v>
      </c>
      <c r="R559" t="s">
        <v>2062</v>
      </c>
      <c r="S559" s="7">
        <f t="shared" si="34"/>
        <v>42279.208333333328</v>
      </c>
      <c r="T559" s="8">
        <f t="shared" si="35"/>
        <v>42282.208333333328</v>
      </c>
    </row>
    <row r="560" spans="1:20" x14ac:dyDescent="0.3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32"/>
        <v>1.373448275862069</v>
      </c>
      <c r="G560" t="s">
        <v>20</v>
      </c>
      <c r="H560">
        <v>126</v>
      </c>
      <c r="I560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">
        <v>2038</v>
      </c>
      <c r="R560" t="s">
        <v>2039</v>
      </c>
      <c r="S560" s="7">
        <f t="shared" si="34"/>
        <v>42424.25</v>
      </c>
      <c r="T560" s="8">
        <f t="shared" si="35"/>
        <v>42467.208333333328</v>
      </c>
    </row>
    <row r="561" spans="1:20" x14ac:dyDescent="0.3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32"/>
        <v>1.009696106362773</v>
      </c>
      <c r="G561" t="s">
        <v>20</v>
      </c>
      <c r="H561">
        <v>1022</v>
      </c>
      <c r="I561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">
        <v>2038</v>
      </c>
      <c r="R561" t="s">
        <v>2039</v>
      </c>
      <c r="S561" s="7">
        <f t="shared" si="34"/>
        <v>42584.208333333328</v>
      </c>
      <c r="T561" s="8">
        <f t="shared" si="35"/>
        <v>42591.208333333328</v>
      </c>
    </row>
    <row r="562" spans="1:20" x14ac:dyDescent="0.3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32"/>
        <v>7.9416000000000002</v>
      </c>
      <c r="G562" t="s">
        <v>20</v>
      </c>
      <c r="H562">
        <v>3177</v>
      </c>
      <c r="I562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71</v>
      </c>
      <c r="Q562" t="s">
        <v>2040</v>
      </c>
      <c r="R562" t="s">
        <v>2048</v>
      </c>
      <c r="S562" s="7">
        <f t="shared" si="34"/>
        <v>40865.25</v>
      </c>
      <c r="T562" s="8">
        <f t="shared" si="35"/>
        <v>40905.25</v>
      </c>
    </row>
    <row r="563" spans="1:20" x14ac:dyDescent="0.3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32"/>
        <v>3.6970000000000001</v>
      </c>
      <c r="G563" t="s">
        <v>20</v>
      </c>
      <c r="H563">
        <v>198</v>
      </c>
      <c r="I563">
        <f t="shared" si="3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">
        <v>2038</v>
      </c>
      <c r="R563" t="s">
        <v>2039</v>
      </c>
      <c r="S563" s="7">
        <f t="shared" si="34"/>
        <v>40833.208333333336</v>
      </c>
      <c r="T563" s="8">
        <f t="shared" si="35"/>
        <v>40835.208333333336</v>
      </c>
    </row>
    <row r="564" spans="1:20" ht="31" x14ac:dyDescent="0.3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32"/>
        <v>0.12818181818181817</v>
      </c>
      <c r="G564" t="s">
        <v>14</v>
      </c>
      <c r="H564">
        <v>26</v>
      </c>
      <c r="I564">
        <f t="shared" si="3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">
        <v>2034</v>
      </c>
      <c r="R564" t="s">
        <v>2035</v>
      </c>
      <c r="S564" s="7">
        <f t="shared" si="34"/>
        <v>43536.208333333328</v>
      </c>
      <c r="T564" s="8">
        <f t="shared" si="35"/>
        <v>43538.208333333328</v>
      </c>
    </row>
    <row r="565" spans="1:20" x14ac:dyDescent="0.3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32"/>
        <v>1.3802702702702703</v>
      </c>
      <c r="G565" t="s">
        <v>20</v>
      </c>
      <c r="H565">
        <v>85</v>
      </c>
      <c r="I565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">
        <v>2040</v>
      </c>
      <c r="R565" t="s">
        <v>2041</v>
      </c>
      <c r="S565" s="7">
        <f t="shared" si="34"/>
        <v>43417.25</v>
      </c>
      <c r="T565" s="8">
        <f t="shared" si="35"/>
        <v>43437.25</v>
      </c>
    </row>
    <row r="566" spans="1:20" x14ac:dyDescent="0.3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32"/>
        <v>0.83813278008298753</v>
      </c>
      <c r="G566" t="s">
        <v>14</v>
      </c>
      <c r="H566">
        <v>1790</v>
      </c>
      <c r="I566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">
        <v>2038</v>
      </c>
      <c r="R566" t="s">
        <v>2039</v>
      </c>
      <c r="S566" s="7">
        <f t="shared" si="34"/>
        <v>42078.208333333328</v>
      </c>
      <c r="T566" s="8">
        <f t="shared" si="35"/>
        <v>42086.208333333328</v>
      </c>
    </row>
    <row r="567" spans="1:20" x14ac:dyDescent="0.3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32"/>
        <v>2.0460063224446787</v>
      </c>
      <c r="G567" t="s">
        <v>20</v>
      </c>
      <c r="H567">
        <v>3596</v>
      </c>
      <c r="I567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">
        <v>2038</v>
      </c>
      <c r="R567" t="s">
        <v>2039</v>
      </c>
      <c r="S567" s="7">
        <f t="shared" si="34"/>
        <v>40862.25</v>
      </c>
      <c r="T567" s="8">
        <f t="shared" si="35"/>
        <v>40882.25</v>
      </c>
    </row>
    <row r="568" spans="1:20" x14ac:dyDescent="0.3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32"/>
        <v>0.44344086021505374</v>
      </c>
      <c r="G568" t="s">
        <v>14</v>
      </c>
      <c r="H568">
        <v>37</v>
      </c>
      <c r="I568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">
        <v>2034</v>
      </c>
      <c r="R568" t="s">
        <v>2042</v>
      </c>
      <c r="S568" s="7">
        <f t="shared" si="34"/>
        <v>42424.25</v>
      </c>
      <c r="T568" s="8">
        <f t="shared" si="35"/>
        <v>42447.208333333328</v>
      </c>
    </row>
    <row r="569" spans="1:20" ht="31" x14ac:dyDescent="0.3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32"/>
        <v>2.1860294117647059</v>
      </c>
      <c r="G569" t="s">
        <v>20</v>
      </c>
      <c r="H569">
        <v>244</v>
      </c>
      <c r="I569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">
        <v>2034</v>
      </c>
      <c r="R569" t="s">
        <v>2035</v>
      </c>
      <c r="S569" s="7">
        <f t="shared" si="34"/>
        <v>41830.208333333336</v>
      </c>
      <c r="T569" s="8">
        <f t="shared" si="35"/>
        <v>41832.208333333336</v>
      </c>
    </row>
    <row r="570" spans="1:20" x14ac:dyDescent="0.3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32"/>
        <v>1.8603314917127072</v>
      </c>
      <c r="G570" t="s">
        <v>20</v>
      </c>
      <c r="H570">
        <v>5180</v>
      </c>
      <c r="I570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">
        <v>2038</v>
      </c>
      <c r="R570" t="s">
        <v>2039</v>
      </c>
      <c r="S570" s="7">
        <f t="shared" si="34"/>
        <v>40374.208333333336</v>
      </c>
      <c r="T570" s="8">
        <f t="shared" si="35"/>
        <v>40419.208333333336</v>
      </c>
    </row>
    <row r="571" spans="1:20" x14ac:dyDescent="0.3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32"/>
        <v>2.3733830845771142</v>
      </c>
      <c r="G571" t="s">
        <v>20</v>
      </c>
      <c r="H571">
        <v>589</v>
      </c>
      <c r="I571">
        <f t="shared" si="3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t="b">
        <v>0</v>
      </c>
      <c r="O571" t="b">
        <v>0</v>
      </c>
      <c r="P571" t="s">
        <v>71</v>
      </c>
      <c r="Q571" t="s">
        <v>2040</v>
      </c>
      <c r="R571" t="s">
        <v>2048</v>
      </c>
      <c r="S571" s="7">
        <f t="shared" si="34"/>
        <v>40554.25</v>
      </c>
      <c r="T571" s="8">
        <f t="shared" si="35"/>
        <v>40566.25</v>
      </c>
    </row>
    <row r="572" spans="1:20" x14ac:dyDescent="0.3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32"/>
        <v>3.0565384615384614</v>
      </c>
      <c r="G572" t="s">
        <v>20</v>
      </c>
      <c r="H572">
        <v>2725</v>
      </c>
      <c r="I572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">
        <v>2034</v>
      </c>
      <c r="R572" t="s">
        <v>2035</v>
      </c>
      <c r="S572" s="7">
        <f t="shared" si="34"/>
        <v>41993.25</v>
      </c>
      <c r="T572" s="8">
        <f t="shared" si="35"/>
        <v>41999.25</v>
      </c>
    </row>
    <row r="573" spans="1:20" x14ac:dyDescent="0.3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32"/>
        <v>0.94142857142857139</v>
      </c>
      <c r="G573" t="s">
        <v>14</v>
      </c>
      <c r="H573">
        <v>35</v>
      </c>
      <c r="I573">
        <f t="shared" si="3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t="b">
        <v>0</v>
      </c>
      <c r="O573" t="b">
        <v>0</v>
      </c>
      <c r="P573" t="s">
        <v>100</v>
      </c>
      <c r="Q573" t="s">
        <v>2040</v>
      </c>
      <c r="R573" t="s">
        <v>2051</v>
      </c>
      <c r="S573" s="7">
        <f t="shared" si="34"/>
        <v>42174.208333333328</v>
      </c>
      <c r="T573" s="8">
        <f t="shared" si="35"/>
        <v>42221.208333333328</v>
      </c>
    </row>
    <row r="574" spans="1:20" x14ac:dyDescent="0.3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32"/>
        <v>0.54400000000000004</v>
      </c>
      <c r="G574" t="s">
        <v>74</v>
      </c>
      <c r="H574">
        <v>94</v>
      </c>
      <c r="I574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">
        <v>2034</v>
      </c>
      <c r="R574" t="s">
        <v>2035</v>
      </c>
      <c r="S574" s="7">
        <f t="shared" si="34"/>
        <v>42275.208333333328</v>
      </c>
      <c r="T574" s="8">
        <f t="shared" si="35"/>
        <v>42291.208333333328</v>
      </c>
    </row>
    <row r="575" spans="1:20" x14ac:dyDescent="0.3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32"/>
        <v>1.1188059701492536</v>
      </c>
      <c r="G575" t="s">
        <v>20</v>
      </c>
      <c r="H575">
        <v>300</v>
      </c>
      <c r="I575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1029</v>
      </c>
      <c r="Q575" t="s">
        <v>2063</v>
      </c>
      <c r="R575" t="s">
        <v>2064</v>
      </c>
      <c r="S575" s="7">
        <f t="shared" si="34"/>
        <v>41761.208333333336</v>
      </c>
      <c r="T575" s="8">
        <f t="shared" si="35"/>
        <v>41763.208333333336</v>
      </c>
    </row>
    <row r="576" spans="1:20" x14ac:dyDescent="0.3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32"/>
        <v>3.6914814814814814</v>
      </c>
      <c r="G576" t="s">
        <v>20</v>
      </c>
      <c r="H576">
        <v>144</v>
      </c>
      <c r="I576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">
        <v>2032</v>
      </c>
      <c r="R576" t="s">
        <v>2033</v>
      </c>
      <c r="S576" s="7">
        <f t="shared" si="34"/>
        <v>43806.25</v>
      </c>
      <c r="T576" s="8">
        <f t="shared" si="35"/>
        <v>43816.25</v>
      </c>
    </row>
    <row r="577" spans="1:20" x14ac:dyDescent="0.3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32"/>
        <v>0.62930372148859548</v>
      </c>
      <c r="G577" t="s">
        <v>14</v>
      </c>
      <c r="H577">
        <v>558</v>
      </c>
      <c r="I577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">
        <v>2038</v>
      </c>
      <c r="R577" t="s">
        <v>2039</v>
      </c>
      <c r="S577" s="7">
        <f t="shared" si="34"/>
        <v>41779.208333333336</v>
      </c>
      <c r="T577" s="8">
        <f t="shared" si="35"/>
        <v>41782.208333333336</v>
      </c>
    </row>
    <row r="578" spans="1:20" ht="31" x14ac:dyDescent="0.3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32"/>
        <v>0.6492783505154639</v>
      </c>
      <c r="G578" t="s">
        <v>14</v>
      </c>
      <c r="H578">
        <v>64</v>
      </c>
      <c r="I578">
        <f t="shared" si="33"/>
        <v>98.40625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">
        <v>2038</v>
      </c>
      <c r="R578" t="s">
        <v>2039</v>
      </c>
      <c r="S578" s="7">
        <f t="shared" si="34"/>
        <v>43040.208333333328</v>
      </c>
      <c r="T578" s="8">
        <f t="shared" si="35"/>
        <v>43057.25</v>
      </c>
    </row>
    <row r="579" spans="1:20" x14ac:dyDescent="0.3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ref="F579:F642" si="36">E579/D579</f>
        <v>0.18853658536585366</v>
      </c>
      <c r="G579" t="s">
        <v>74</v>
      </c>
      <c r="H579">
        <v>37</v>
      </c>
      <c r="I579">
        <f t="shared" ref="I579:I642" si="37">IFERROR(E579/H579, "0")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159</v>
      </c>
      <c r="Q579" t="s">
        <v>2034</v>
      </c>
      <c r="R579" t="s">
        <v>2057</v>
      </c>
      <c r="S579" s="7">
        <f t="shared" ref="S579:S642" si="38">(((L579/60)/60)/24)+DATE(1970,1,1)</f>
        <v>40613.25</v>
      </c>
      <c r="T579" s="8">
        <f t="shared" ref="T579:T642" si="39">(((M579/60)/60)/24)+DATE(1970,1,1)</f>
        <v>40639.208333333336</v>
      </c>
    </row>
    <row r="580" spans="1:20" x14ac:dyDescent="0.3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si="36"/>
        <v>0.1675440414507772</v>
      </c>
      <c r="G580" t="s">
        <v>14</v>
      </c>
      <c r="H580">
        <v>245</v>
      </c>
      <c r="I580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474</v>
      </c>
      <c r="Q580" t="s">
        <v>2040</v>
      </c>
      <c r="R580" t="s">
        <v>2062</v>
      </c>
      <c r="S580" s="7">
        <f t="shared" si="38"/>
        <v>40878.25</v>
      </c>
      <c r="T580" s="8">
        <f t="shared" si="39"/>
        <v>40881.25</v>
      </c>
    </row>
    <row r="581" spans="1:20" x14ac:dyDescent="0.3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36"/>
        <v>1.0111290322580646</v>
      </c>
      <c r="G581" t="s">
        <v>20</v>
      </c>
      <c r="H581">
        <v>87</v>
      </c>
      <c r="I581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159</v>
      </c>
      <c r="Q581" t="s">
        <v>2034</v>
      </c>
      <c r="R581" t="s">
        <v>2057</v>
      </c>
      <c r="S581" s="7">
        <f t="shared" si="38"/>
        <v>40762.208333333336</v>
      </c>
      <c r="T581" s="8">
        <f t="shared" si="39"/>
        <v>40774.208333333336</v>
      </c>
    </row>
    <row r="582" spans="1:20" x14ac:dyDescent="0.3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36"/>
        <v>3.4150228310502282</v>
      </c>
      <c r="G582" t="s">
        <v>20</v>
      </c>
      <c r="H582">
        <v>3116</v>
      </c>
      <c r="I582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">
        <v>2038</v>
      </c>
      <c r="R582" t="s">
        <v>2039</v>
      </c>
      <c r="S582" s="7">
        <f t="shared" si="38"/>
        <v>41696.25</v>
      </c>
      <c r="T582" s="8">
        <f t="shared" si="39"/>
        <v>41704.25</v>
      </c>
    </row>
    <row r="583" spans="1:20" x14ac:dyDescent="0.3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36"/>
        <v>0.64016666666666666</v>
      </c>
      <c r="G583" t="s">
        <v>14</v>
      </c>
      <c r="H583">
        <v>71</v>
      </c>
      <c r="I583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">
        <v>2036</v>
      </c>
      <c r="R583" t="s">
        <v>2037</v>
      </c>
      <c r="S583" s="7">
        <f t="shared" si="38"/>
        <v>40662.208333333336</v>
      </c>
      <c r="T583" s="8">
        <f t="shared" si="39"/>
        <v>40677.208333333336</v>
      </c>
    </row>
    <row r="584" spans="1:20" x14ac:dyDescent="0.3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36"/>
        <v>0.5208045977011494</v>
      </c>
      <c r="G584" t="s">
        <v>14</v>
      </c>
      <c r="H584">
        <v>42</v>
      </c>
      <c r="I584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89</v>
      </c>
      <c r="Q584" t="s">
        <v>2049</v>
      </c>
      <c r="R584" t="s">
        <v>2050</v>
      </c>
      <c r="S584" s="7">
        <f t="shared" si="38"/>
        <v>42165.208333333328</v>
      </c>
      <c r="T584" s="8">
        <f t="shared" si="39"/>
        <v>42170.208333333328</v>
      </c>
    </row>
    <row r="585" spans="1:20" ht="31" x14ac:dyDescent="0.3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36"/>
        <v>3.2240211640211642</v>
      </c>
      <c r="G585" t="s">
        <v>20</v>
      </c>
      <c r="H585">
        <v>909</v>
      </c>
      <c r="I585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">
        <v>2040</v>
      </c>
      <c r="R585" t="s">
        <v>2041</v>
      </c>
      <c r="S585" s="7">
        <f t="shared" si="38"/>
        <v>40959.25</v>
      </c>
      <c r="T585" s="8">
        <f t="shared" si="39"/>
        <v>40976.25</v>
      </c>
    </row>
    <row r="586" spans="1:20" x14ac:dyDescent="0.3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36"/>
        <v>1.1950810185185186</v>
      </c>
      <c r="G586" t="s">
        <v>20</v>
      </c>
      <c r="H586">
        <v>1613</v>
      </c>
      <c r="I586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">
        <v>2036</v>
      </c>
      <c r="R586" t="s">
        <v>2037</v>
      </c>
      <c r="S586" s="7">
        <f t="shared" si="38"/>
        <v>41024.208333333336</v>
      </c>
      <c r="T586" s="8">
        <f t="shared" si="39"/>
        <v>41038.208333333336</v>
      </c>
    </row>
    <row r="587" spans="1:20" x14ac:dyDescent="0.3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36"/>
        <v>1.4679775280898877</v>
      </c>
      <c r="G587" t="s">
        <v>20</v>
      </c>
      <c r="H587">
        <v>136</v>
      </c>
      <c r="I587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206</v>
      </c>
      <c r="Q587" t="s">
        <v>2046</v>
      </c>
      <c r="R587" t="s">
        <v>2058</v>
      </c>
      <c r="S587" s="7">
        <f t="shared" si="38"/>
        <v>40255.208333333336</v>
      </c>
      <c r="T587" s="8">
        <f t="shared" si="39"/>
        <v>40265.208333333336</v>
      </c>
    </row>
    <row r="588" spans="1:20" x14ac:dyDescent="0.3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36"/>
        <v>9.5057142857142853</v>
      </c>
      <c r="G588" t="s">
        <v>20</v>
      </c>
      <c r="H588">
        <v>130</v>
      </c>
      <c r="I588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">
        <v>2034</v>
      </c>
      <c r="R588" t="s">
        <v>2035</v>
      </c>
      <c r="S588" s="7">
        <f t="shared" si="38"/>
        <v>40499.25</v>
      </c>
      <c r="T588" s="8">
        <f t="shared" si="39"/>
        <v>40518.25</v>
      </c>
    </row>
    <row r="589" spans="1:20" x14ac:dyDescent="0.3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36"/>
        <v>0.72893617021276591</v>
      </c>
      <c r="G589" t="s">
        <v>14</v>
      </c>
      <c r="H589">
        <v>156</v>
      </c>
      <c r="I589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">
        <v>2032</v>
      </c>
      <c r="R589" t="s">
        <v>2033</v>
      </c>
      <c r="S589" s="7">
        <f t="shared" si="38"/>
        <v>43484.25</v>
      </c>
      <c r="T589" s="8">
        <f t="shared" si="39"/>
        <v>43536.208333333328</v>
      </c>
    </row>
    <row r="590" spans="1:20" x14ac:dyDescent="0.3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36"/>
        <v>0.7900824873096447</v>
      </c>
      <c r="G590" t="s">
        <v>14</v>
      </c>
      <c r="H590">
        <v>1368</v>
      </c>
      <c r="I590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">
        <v>2038</v>
      </c>
      <c r="R590" t="s">
        <v>2039</v>
      </c>
      <c r="S590" s="7">
        <f t="shared" si="38"/>
        <v>40262.208333333336</v>
      </c>
      <c r="T590" s="8">
        <f t="shared" si="39"/>
        <v>40293.208333333336</v>
      </c>
    </row>
    <row r="591" spans="1:20" x14ac:dyDescent="0.3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36"/>
        <v>0.64721518987341775</v>
      </c>
      <c r="G591" t="s">
        <v>14</v>
      </c>
      <c r="H591">
        <v>102</v>
      </c>
      <c r="I591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">
        <v>2040</v>
      </c>
      <c r="R591" t="s">
        <v>2041</v>
      </c>
      <c r="S591" s="7">
        <f t="shared" si="38"/>
        <v>42190.208333333328</v>
      </c>
      <c r="T591" s="8">
        <f t="shared" si="39"/>
        <v>42197.208333333328</v>
      </c>
    </row>
    <row r="592" spans="1:20" ht="31" x14ac:dyDescent="0.3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36"/>
        <v>0.82028169014084507</v>
      </c>
      <c r="G592" t="s">
        <v>14</v>
      </c>
      <c r="H592">
        <v>86</v>
      </c>
      <c r="I592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133</v>
      </c>
      <c r="Q592" t="s">
        <v>2046</v>
      </c>
      <c r="R592" t="s">
        <v>2055</v>
      </c>
      <c r="S592" s="7">
        <f t="shared" si="38"/>
        <v>41994.25</v>
      </c>
      <c r="T592" s="8">
        <f t="shared" si="39"/>
        <v>42005.25</v>
      </c>
    </row>
    <row r="593" spans="1:20" x14ac:dyDescent="0.3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36"/>
        <v>10.376666666666667</v>
      </c>
      <c r="G593" t="s">
        <v>20</v>
      </c>
      <c r="H593">
        <v>102</v>
      </c>
      <c r="I593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89</v>
      </c>
      <c r="Q593" t="s">
        <v>2049</v>
      </c>
      <c r="R593" t="s">
        <v>2050</v>
      </c>
      <c r="S593" s="7">
        <f t="shared" si="38"/>
        <v>40373.208333333336</v>
      </c>
      <c r="T593" s="8">
        <f t="shared" si="39"/>
        <v>40383.208333333336</v>
      </c>
    </row>
    <row r="594" spans="1:20" ht="31" x14ac:dyDescent="0.3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36"/>
        <v>0.12910076530612244</v>
      </c>
      <c r="G594" t="s">
        <v>14</v>
      </c>
      <c r="H594">
        <v>253</v>
      </c>
      <c r="I594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">
        <v>2038</v>
      </c>
      <c r="R594" t="s">
        <v>2039</v>
      </c>
      <c r="S594" s="7">
        <f t="shared" si="38"/>
        <v>41789.208333333336</v>
      </c>
      <c r="T594" s="8">
        <f t="shared" si="39"/>
        <v>41798.208333333336</v>
      </c>
    </row>
    <row r="595" spans="1:20" x14ac:dyDescent="0.3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36"/>
        <v>1.5484210526315789</v>
      </c>
      <c r="G595" t="s">
        <v>20</v>
      </c>
      <c r="H595">
        <v>4006</v>
      </c>
      <c r="I595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71</v>
      </c>
      <c r="Q595" t="s">
        <v>2040</v>
      </c>
      <c r="R595" t="s">
        <v>2048</v>
      </c>
      <c r="S595" s="7">
        <f t="shared" si="38"/>
        <v>41724.208333333336</v>
      </c>
      <c r="T595" s="8">
        <f t="shared" si="39"/>
        <v>41737.208333333336</v>
      </c>
    </row>
    <row r="596" spans="1:20" ht="31" x14ac:dyDescent="0.3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36"/>
        <v>7.0991735537190084E-2</v>
      </c>
      <c r="G596" t="s">
        <v>14</v>
      </c>
      <c r="H596">
        <v>157</v>
      </c>
      <c r="I596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">
        <v>2038</v>
      </c>
      <c r="R596" t="s">
        <v>2039</v>
      </c>
      <c r="S596" s="7">
        <f t="shared" si="38"/>
        <v>42548.208333333328</v>
      </c>
      <c r="T596" s="8">
        <f t="shared" si="39"/>
        <v>42551.208333333328</v>
      </c>
    </row>
    <row r="597" spans="1:20" ht="31" x14ac:dyDescent="0.3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36"/>
        <v>2.0852773826458035</v>
      </c>
      <c r="G597" t="s">
        <v>20</v>
      </c>
      <c r="H597">
        <v>1629</v>
      </c>
      <c r="I597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">
        <v>2038</v>
      </c>
      <c r="R597" t="s">
        <v>2039</v>
      </c>
      <c r="S597" s="7">
        <f t="shared" si="38"/>
        <v>40253.208333333336</v>
      </c>
      <c r="T597" s="8">
        <f t="shared" si="39"/>
        <v>40274.208333333336</v>
      </c>
    </row>
    <row r="598" spans="1:20" x14ac:dyDescent="0.3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36"/>
        <v>0.99683544303797467</v>
      </c>
      <c r="G598" t="s">
        <v>14</v>
      </c>
      <c r="H598">
        <v>183</v>
      </c>
      <c r="I598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">
        <v>2040</v>
      </c>
      <c r="R598" t="s">
        <v>2043</v>
      </c>
      <c r="S598" s="7">
        <f t="shared" si="38"/>
        <v>42434.25</v>
      </c>
      <c r="T598" s="8">
        <f t="shared" si="39"/>
        <v>42441.25</v>
      </c>
    </row>
    <row r="599" spans="1:20" x14ac:dyDescent="0.3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36"/>
        <v>2.0159756097560977</v>
      </c>
      <c r="G599" t="s">
        <v>20</v>
      </c>
      <c r="H599">
        <v>2188</v>
      </c>
      <c r="I599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">
        <v>2038</v>
      </c>
      <c r="R599" t="s">
        <v>2039</v>
      </c>
      <c r="S599" s="7">
        <f t="shared" si="38"/>
        <v>43786.25</v>
      </c>
      <c r="T599" s="8">
        <f t="shared" si="39"/>
        <v>43804.25</v>
      </c>
    </row>
    <row r="600" spans="1:20" x14ac:dyDescent="0.3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36"/>
        <v>1.6209032258064515</v>
      </c>
      <c r="G600" t="s">
        <v>20</v>
      </c>
      <c r="H600">
        <v>2409</v>
      </c>
      <c r="I600">
        <f t="shared" si="37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">
        <v>2034</v>
      </c>
      <c r="R600" t="s">
        <v>2035</v>
      </c>
      <c r="S600" s="7">
        <f t="shared" si="38"/>
        <v>40344.208333333336</v>
      </c>
      <c r="T600" s="8">
        <f t="shared" si="39"/>
        <v>40373.208333333336</v>
      </c>
    </row>
    <row r="601" spans="1:20" ht="31" x14ac:dyDescent="0.3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36"/>
        <v>3.6436208125445471E-2</v>
      </c>
      <c r="G601" t="s">
        <v>14</v>
      </c>
      <c r="H601">
        <v>82</v>
      </c>
      <c r="I601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">
        <v>2040</v>
      </c>
      <c r="R601" t="s">
        <v>2041</v>
      </c>
      <c r="S601" s="7">
        <f t="shared" si="38"/>
        <v>42047.25</v>
      </c>
      <c r="T601" s="8">
        <f t="shared" si="39"/>
        <v>42055.25</v>
      </c>
    </row>
    <row r="602" spans="1:20" x14ac:dyDescent="0.3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36"/>
        <v>0.05</v>
      </c>
      <c r="G602" t="s">
        <v>14</v>
      </c>
      <c r="H602">
        <v>1</v>
      </c>
      <c r="I602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">
        <v>2032</v>
      </c>
      <c r="R602" t="s">
        <v>2033</v>
      </c>
      <c r="S602" s="7">
        <f t="shared" si="38"/>
        <v>41485.208333333336</v>
      </c>
      <c r="T602" s="8">
        <f t="shared" si="39"/>
        <v>41497.208333333336</v>
      </c>
    </row>
    <row r="603" spans="1:20" x14ac:dyDescent="0.3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36"/>
        <v>2.0663492063492064</v>
      </c>
      <c r="G603" t="s">
        <v>20</v>
      </c>
      <c r="H603">
        <v>194</v>
      </c>
      <c r="I603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65</v>
      </c>
      <c r="Q603" t="s">
        <v>2036</v>
      </c>
      <c r="R603" t="s">
        <v>2045</v>
      </c>
      <c r="S603" s="7">
        <f t="shared" si="38"/>
        <v>41789.208333333336</v>
      </c>
      <c r="T603" s="8">
        <f t="shared" si="39"/>
        <v>41806.208333333336</v>
      </c>
    </row>
    <row r="604" spans="1:20" ht="31" x14ac:dyDescent="0.3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36"/>
        <v>1.2823628691983122</v>
      </c>
      <c r="G604" t="s">
        <v>20</v>
      </c>
      <c r="H604">
        <v>1140</v>
      </c>
      <c r="I604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">
        <v>2038</v>
      </c>
      <c r="R604" t="s">
        <v>2039</v>
      </c>
      <c r="S604" s="7">
        <f t="shared" si="38"/>
        <v>42160.208333333328</v>
      </c>
      <c r="T604" s="8">
        <f t="shared" si="39"/>
        <v>42171.208333333328</v>
      </c>
    </row>
    <row r="605" spans="1:20" x14ac:dyDescent="0.3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36"/>
        <v>1.1966037735849056</v>
      </c>
      <c r="G605" t="s">
        <v>20</v>
      </c>
      <c r="H605">
        <v>102</v>
      </c>
      <c r="I605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">
        <v>2038</v>
      </c>
      <c r="R605" t="s">
        <v>2039</v>
      </c>
      <c r="S605" s="7">
        <f t="shared" si="38"/>
        <v>43573.208333333328</v>
      </c>
      <c r="T605" s="8">
        <f t="shared" si="39"/>
        <v>43600.208333333328</v>
      </c>
    </row>
    <row r="606" spans="1:20" x14ac:dyDescent="0.3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36"/>
        <v>1.7073055242390078</v>
      </c>
      <c r="G606" t="s">
        <v>20</v>
      </c>
      <c r="H606">
        <v>2857</v>
      </c>
      <c r="I606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">
        <v>2038</v>
      </c>
      <c r="R606" t="s">
        <v>2039</v>
      </c>
      <c r="S606" s="7">
        <f t="shared" si="38"/>
        <v>40565.25</v>
      </c>
      <c r="T606" s="8">
        <f t="shared" si="39"/>
        <v>40586.25</v>
      </c>
    </row>
    <row r="607" spans="1:20" x14ac:dyDescent="0.3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36"/>
        <v>1.8721212121212121</v>
      </c>
      <c r="G607" t="s">
        <v>20</v>
      </c>
      <c r="H607">
        <v>107</v>
      </c>
      <c r="I607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68</v>
      </c>
      <c r="Q607" t="s">
        <v>2046</v>
      </c>
      <c r="R607" t="s">
        <v>2047</v>
      </c>
      <c r="S607" s="7">
        <f t="shared" si="38"/>
        <v>42280.208333333328</v>
      </c>
      <c r="T607" s="8">
        <f t="shared" si="39"/>
        <v>42321.25</v>
      </c>
    </row>
    <row r="608" spans="1:20" x14ac:dyDescent="0.3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36"/>
        <v>1.8838235294117647</v>
      </c>
      <c r="G608" t="s">
        <v>20</v>
      </c>
      <c r="H608">
        <v>160</v>
      </c>
      <c r="I608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">
        <v>2034</v>
      </c>
      <c r="R608" t="s">
        <v>2035</v>
      </c>
      <c r="S608" s="7">
        <f t="shared" si="38"/>
        <v>42436.25</v>
      </c>
      <c r="T608" s="8">
        <f t="shared" si="39"/>
        <v>42447.208333333328</v>
      </c>
    </row>
    <row r="609" spans="1:20" x14ac:dyDescent="0.3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36"/>
        <v>1.3129869186046512</v>
      </c>
      <c r="G609" t="s">
        <v>20</v>
      </c>
      <c r="H609">
        <v>2230</v>
      </c>
      <c r="I609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">
        <v>2032</v>
      </c>
      <c r="R609" t="s">
        <v>2033</v>
      </c>
      <c r="S609" s="7">
        <f t="shared" si="38"/>
        <v>41721.208333333336</v>
      </c>
      <c r="T609" s="8">
        <f t="shared" si="39"/>
        <v>41723.208333333336</v>
      </c>
    </row>
    <row r="610" spans="1:20" x14ac:dyDescent="0.3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36"/>
        <v>2.8397435897435899</v>
      </c>
      <c r="G610" t="s">
        <v>20</v>
      </c>
      <c r="H610">
        <v>316</v>
      </c>
      <c r="I610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159</v>
      </c>
      <c r="Q610" t="s">
        <v>2034</v>
      </c>
      <c r="R610" t="s">
        <v>2057</v>
      </c>
      <c r="S610" s="7">
        <f t="shared" si="38"/>
        <v>43530.25</v>
      </c>
      <c r="T610" s="8">
        <f t="shared" si="39"/>
        <v>43534.25</v>
      </c>
    </row>
    <row r="611" spans="1:20" x14ac:dyDescent="0.3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36"/>
        <v>1.2041999999999999</v>
      </c>
      <c r="G611" t="s">
        <v>20</v>
      </c>
      <c r="H611">
        <v>117</v>
      </c>
      <c r="I611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474</v>
      </c>
      <c r="Q611" t="s">
        <v>2040</v>
      </c>
      <c r="R611" t="s">
        <v>2062</v>
      </c>
      <c r="S611" s="7">
        <f t="shared" si="38"/>
        <v>43481.25</v>
      </c>
      <c r="T611" s="8">
        <f t="shared" si="39"/>
        <v>43498.25</v>
      </c>
    </row>
    <row r="612" spans="1:20" ht="31" x14ac:dyDescent="0.3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36"/>
        <v>4.1905607476635511</v>
      </c>
      <c r="G612" t="s">
        <v>20</v>
      </c>
      <c r="H612">
        <v>6406</v>
      </c>
      <c r="I612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">
        <v>2038</v>
      </c>
      <c r="R612" t="s">
        <v>2039</v>
      </c>
      <c r="S612" s="7">
        <f t="shared" si="38"/>
        <v>41259.25</v>
      </c>
      <c r="T612" s="8">
        <f t="shared" si="39"/>
        <v>41273.25</v>
      </c>
    </row>
    <row r="613" spans="1:20" x14ac:dyDescent="0.3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36"/>
        <v>0.13853658536585367</v>
      </c>
      <c r="G613" t="s">
        <v>74</v>
      </c>
      <c r="H613">
        <v>15</v>
      </c>
      <c r="I613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">
        <v>2038</v>
      </c>
      <c r="R613" t="s">
        <v>2039</v>
      </c>
      <c r="S613" s="7">
        <f t="shared" si="38"/>
        <v>41480.208333333336</v>
      </c>
      <c r="T613" s="8">
        <f t="shared" si="39"/>
        <v>41492.208333333336</v>
      </c>
    </row>
    <row r="614" spans="1:20" x14ac:dyDescent="0.3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36"/>
        <v>1.3943548387096774</v>
      </c>
      <c r="G614" t="s">
        <v>20</v>
      </c>
      <c r="H614">
        <v>192</v>
      </c>
      <c r="I614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">
        <v>2034</v>
      </c>
      <c r="R614" t="s">
        <v>2042</v>
      </c>
      <c r="S614" s="7">
        <f t="shared" si="38"/>
        <v>40474.208333333336</v>
      </c>
      <c r="T614" s="8">
        <f t="shared" si="39"/>
        <v>40497.25</v>
      </c>
    </row>
    <row r="615" spans="1:20" x14ac:dyDescent="0.3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36"/>
        <v>1.74</v>
      </c>
      <c r="G615" t="s">
        <v>20</v>
      </c>
      <c r="H615">
        <v>26</v>
      </c>
      <c r="I615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">
        <v>2038</v>
      </c>
      <c r="R615" t="s">
        <v>2039</v>
      </c>
      <c r="S615" s="7">
        <f t="shared" si="38"/>
        <v>42973.208333333328</v>
      </c>
      <c r="T615" s="8">
        <f t="shared" si="39"/>
        <v>42982.208333333328</v>
      </c>
    </row>
    <row r="616" spans="1:20" ht="31" x14ac:dyDescent="0.3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36"/>
        <v>1.5549056603773586</v>
      </c>
      <c r="G616" t="s">
        <v>20</v>
      </c>
      <c r="H616">
        <v>723</v>
      </c>
      <c r="I616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">
        <v>2038</v>
      </c>
      <c r="R616" t="s">
        <v>2039</v>
      </c>
      <c r="S616" s="7">
        <f t="shared" si="38"/>
        <v>42746.25</v>
      </c>
      <c r="T616" s="8">
        <f t="shared" si="39"/>
        <v>42764.25</v>
      </c>
    </row>
    <row r="617" spans="1:20" x14ac:dyDescent="0.3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36"/>
        <v>1.7044705882352942</v>
      </c>
      <c r="G617" t="s">
        <v>20</v>
      </c>
      <c r="H617">
        <v>170</v>
      </c>
      <c r="I617">
        <f t="shared" si="37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">
        <v>2038</v>
      </c>
      <c r="R617" t="s">
        <v>2039</v>
      </c>
      <c r="S617" s="7">
        <f t="shared" si="38"/>
        <v>42489.208333333328</v>
      </c>
      <c r="T617" s="8">
        <f t="shared" si="39"/>
        <v>42499.208333333328</v>
      </c>
    </row>
    <row r="618" spans="1:20" x14ac:dyDescent="0.3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36"/>
        <v>1.8951562500000001</v>
      </c>
      <c r="G618" t="s">
        <v>20</v>
      </c>
      <c r="H618">
        <v>238</v>
      </c>
      <c r="I618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60</v>
      </c>
      <c r="Q618" t="s">
        <v>2034</v>
      </c>
      <c r="R618" t="s">
        <v>2044</v>
      </c>
      <c r="S618" s="7">
        <f t="shared" si="38"/>
        <v>41537.208333333336</v>
      </c>
      <c r="T618" s="8">
        <f t="shared" si="39"/>
        <v>41538.208333333336</v>
      </c>
    </row>
    <row r="619" spans="1:20" x14ac:dyDescent="0.3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36"/>
        <v>2.4971428571428573</v>
      </c>
      <c r="G619" t="s">
        <v>20</v>
      </c>
      <c r="H619">
        <v>55</v>
      </c>
      <c r="I619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">
        <v>2038</v>
      </c>
      <c r="R619" t="s">
        <v>2039</v>
      </c>
      <c r="S619" s="7">
        <f t="shared" si="38"/>
        <v>41794.208333333336</v>
      </c>
      <c r="T619" s="8">
        <f t="shared" si="39"/>
        <v>41804.208333333336</v>
      </c>
    </row>
    <row r="620" spans="1:20" x14ac:dyDescent="0.3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36"/>
        <v>0.48860523665659616</v>
      </c>
      <c r="G620" t="s">
        <v>14</v>
      </c>
      <c r="H620">
        <v>1198</v>
      </c>
      <c r="I620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68</v>
      </c>
      <c r="Q620" t="s">
        <v>2046</v>
      </c>
      <c r="R620" t="s">
        <v>2047</v>
      </c>
      <c r="S620" s="7">
        <f t="shared" si="38"/>
        <v>41396.208333333336</v>
      </c>
      <c r="T620" s="8">
        <f t="shared" si="39"/>
        <v>41417.208333333336</v>
      </c>
    </row>
    <row r="621" spans="1:20" x14ac:dyDescent="0.3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36"/>
        <v>0.28461970393057684</v>
      </c>
      <c r="G621" t="s">
        <v>14</v>
      </c>
      <c r="H621">
        <v>648</v>
      </c>
      <c r="I621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">
        <v>2038</v>
      </c>
      <c r="R621" t="s">
        <v>2039</v>
      </c>
      <c r="S621" s="7">
        <f t="shared" si="38"/>
        <v>40669.208333333336</v>
      </c>
      <c r="T621" s="8">
        <f t="shared" si="39"/>
        <v>40670.208333333336</v>
      </c>
    </row>
    <row r="622" spans="1:20" x14ac:dyDescent="0.3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36"/>
        <v>2.6802325581395348</v>
      </c>
      <c r="G622" t="s">
        <v>20</v>
      </c>
      <c r="H622">
        <v>128</v>
      </c>
      <c r="I622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122</v>
      </c>
      <c r="Q622" t="s">
        <v>2053</v>
      </c>
      <c r="R622" t="s">
        <v>2054</v>
      </c>
      <c r="S622" s="7">
        <f t="shared" si="38"/>
        <v>42559.208333333328</v>
      </c>
      <c r="T622" s="8">
        <f t="shared" si="39"/>
        <v>42563.208333333328</v>
      </c>
    </row>
    <row r="623" spans="1:20" x14ac:dyDescent="0.3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36"/>
        <v>6.1980078125000002</v>
      </c>
      <c r="G623" t="s">
        <v>20</v>
      </c>
      <c r="H623">
        <v>2144</v>
      </c>
      <c r="I623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">
        <v>2038</v>
      </c>
      <c r="R623" t="s">
        <v>2039</v>
      </c>
      <c r="S623" s="7">
        <f t="shared" si="38"/>
        <v>42626.208333333328</v>
      </c>
      <c r="T623" s="8">
        <f t="shared" si="39"/>
        <v>42631.208333333328</v>
      </c>
    </row>
    <row r="624" spans="1:20" x14ac:dyDescent="0.3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36"/>
        <v>3.1301587301587303E-2</v>
      </c>
      <c r="G624" t="s">
        <v>14</v>
      </c>
      <c r="H624">
        <v>64</v>
      </c>
      <c r="I624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60</v>
      </c>
      <c r="Q624" t="s">
        <v>2034</v>
      </c>
      <c r="R624" t="s">
        <v>2044</v>
      </c>
      <c r="S624" s="7">
        <f t="shared" si="38"/>
        <v>43205.208333333328</v>
      </c>
      <c r="T624" s="8">
        <f t="shared" si="39"/>
        <v>43231.208333333328</v>
      </c>
    </row>
    <row r="625" spans="1:20" x14ac:dyDescent="0.3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36"/>
        <v>1.5992152704135738</v>
      </c>
      <c r="G625" t="s">
        <v>20</v>
      </c>
      <c r="H625">
        <v>2693</v>
      </c>
      <c r="I625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">
        <v>2038</v>
      </c>
      <c r="R625" t="s">
        <v>2039</v>
      </c>
      <c r="S625" s="7">
        <f t="shared" si="38"/>
        <v>42201.208333333328</v>
      </c>
      <c r="T625" s="8">
        <f t="shared" si="39"/>
        <v>42206.208333333328</v>
      </c>
    </row>
    <row r="626" spans="1:20" x14ac:dyDescent="0.3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36"/>
        <v>2.793921568627451</v>
      </c>
      <c r="G626" t="s">
        <v>20</v>
      </c>
      <c r="H626">
        <v>432</v>
      </c>
      <c r="I626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122</v>
      </c>
      <c r="Q626" t="s">
        <v>2053</v>
      </c>
      <c r="R626" t="s">
        <v>2054</v>
      </c>
      <c r="S626" s="7">
        <f t="shared" si="38"/>
        <v>42029.25</v>
      </c>
      <c r="T626" s="8">
        <f t="shared" si="39"/>
        <v>42035.25</v>
      </c>
    </row>
    <row r="627" spans="1:20" ht="31" x14ac:dyDescent="0.3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36"/>
        <v>0.77373333333333338</v>
      </c>
      <c r="G627" t="s">
        <v>14</v>
      </c>
      <c r="H627">
        <v>62</v>
      </c>
      <c r="I627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">
        <v>2038</v>
      </c>
      <c r="R627" t="s">
        <v>2039</v>
      </c>
      <c r="S627" s="7">
        <f t="shared" si="38"/>
        <v>43857.25</v>
      </c>
      <c r="T627" s="8">
        <f t="shared" si="39"/>
        <v>43871.25</v>
      </c>
    </row>
    <row r="628" spans="1:20" ht="31" x14ac:dyDescent="0.3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36"/>
        <v>2.0632812500000002</v>
      </c>
      <c r="G628" t="s">
        <v>20</v>
      </c>
      <c r="H628">
        <v>189</v>
      </c>
      <c r="I628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">
        <v>2038</v>
      </c>
      <c r="R628" t="s">
        <v>2039</v>
      </c>
      <c r="S628" s="7">
        <f t="shared" si="38"/>
        <v>40449.208333333336</v>
      </c>
      <c r="T628" s="8">
        <f t="shared" si="39"/>
        <v>40458.208333333336</v>
      </c>
    </row>
    <row r="629" spans="1:20" x14ac:dyDescent="0.3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36"/>
        <v>6.9424999999999999</v>
      </c>
      <c r="G629" t="s">
        <v>20</v>
      </c>
      <c r="H629">
        <v>154</v>
      </c>
      <c r="I629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">
        <v>2032</v>
      </c>
      <c r="R629" t="s">
        <v>2033</v>
      </c>
      <c r="S629" s="7">
        <f t="shared" si="38"/>
        <v>40345.208333333336</v>
      </c>
      <c r="T629" s="8">
        <f t="shared" si="39"/>
        <v>40369.208333333336</v>
      </c>
    </row>
    <row r="630" spans="1:20" x14ac:dyDescent="0.3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36"/>
        <v>1.5178947368421052</v>
      </c>
      <c r="G630" t="s">
        <v>20</v>
      </c>
      <c r="H630">
        <v>96</v>
      </c>
      <c r="I630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60</v>
      </c>
      <c r="Q630" t="s">
        <v>2034</v>
      </c>
      <c r="R630" t="s">
        <v>2044</v>
      </c>
      <c r="S630" s="7">
        <f t="shared" si="38"/>
        <v>40455.208333333336</v>
      </c>
      <c r="T630" s="8">
        <f t="shared" si="39"/>
        <v>40458.208333333336</v>
      </c>
    </row>
    <row r="631" spans="1:20" x14ac:dyDescent="0.3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36"/>
        <v>0.64582072176949945</v>
      </c>
      <c r="G631" t="s">
        <v>14</v>
      </c>
      <c r="H631">
        <v>750</v>
      </c>
      <c r="I631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">
        <v>2038</v>
      </c>
      <c r="R631" t="s">
        <v>2039</v>
      </c>
      <c r="S631" s="7">
        <f t="shared" si="38"/>
        <v>42557.208333333328</v>
      </c>
      <c r="T631" s="8">
        <f t="shared" si="39"/>
        <v>42559.208333333328</v>
      </c>
    </row>
    <row r="632" spans="1:20" x14ac:dyDescent="0.3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36"/>
        <v>0.62873684210526315</v>
      </c>
      <c r="G632" t="s">
        <v>74</v>
      </c>
      <c r="H632">
        <v>87</v>
      </c>
      <c r="I632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">
        <v>2038</v>
      </c>
      <c r="R632" t="s">
        <v>2039</v>
      </c>
      <c r="S632" s="7">
        <f t="shared" si="38"/>
        <v>43586.208333333328</v>
      </c>
      <c r="T632" s="8">
        <f t="shared" si="39"/>
        <v>43597.208333333328</v>
      </c>
    </row>
    <row r="633" spans="1:20" x14ac:dyDescent="0.3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36"/>
        <v>3.1039864864864866</v>
      </c>
      <c r="G633" t="s">
        <v>20</v>
      </c>
      <c r="H633">
        <v>3063</v>
      </c>
      <c r="I633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">
        <v>2038</v>
      </c>
      <c r="R633" t="s">
        <v>2039</v>
      </c>
      <c r="S633" s="7">
        <f t="shared" si="38"/>
        <v>43550.208333333328</v>
      </c>
      <c r="T633" s="8">
        <f t="shared" si="39"/>
        <v>43554.208333333328</v>
      </c>
    </row>
    <row r="634" spans="1:20" x14ac:dyDescent="0.3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36"/>
        <v>0.42859916782246882</v>
      </c>
      <c r="G634" t="s">
        <v>47</v>
      </c>
      <c r="H634">
        <v>278</v>
      </c>
      <c r="I634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">
        <v>2038</v>
      </c>
      <c r="R634" t="s">
        <v>2039</v>
      </c>
      <c r="S634" s="7">
        <f t="shared" si="38"/>
        <v>41945.208333333336</v>
      </c>
      <c r="T634" s="8">
        <f t="shared" si="39"/>
        <v>41963.25</v>
      </c>
    </row>
    <row r="635" spans="1:20" x14ac:dyDescent="0.3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36"/>
        <v>0.83119402985074631</v>
      </c>
      <c r="G635" t="s">
        <v>14</v>
      </c>
      <c r="H635">
        <v>105</v>
      </c>
      <c r="I635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71</v>
      </c>
      <c r="Q635" t="s">
        <v>2040</v>
      </c>
      <c r="R635" t="s">
        <v>2048</v>
      </c>
      <c r="S635" s="7">
        <f t="shared" si="38"/>
        <v>42315.25</v>
      </c>
      <c r="T635" s="8">
        <f t="shared" si="39"/>
        <v>42319.25</v>
      </c>
    </row>
    <row r="636" spans="1:20" x14ac:dyDescent="0.3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36"/>
        <v>0.78531302876480547</v>
      </c>
      <c r="G636" t="s">
        <v>74</v>
      </c>
      <c r="H636">
        <v>1658</v>
      </c>
      <c r="I636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269</v>
      </c>
      <c r="Q636" t="s">
        <v>2040</v>
      </c>
      <c r="R636" t="s">
        <v>2059</v>
      </c>
      <c r="S636" s="7">
        <f t="shared" si="38"/>
        <v>42819.208333333328</v>
      </c>
      <c r="T636" s="8">
        <f t="shared" si="39"/>
        <v>42833.208333333328</v>
      </c>
    </row>
    <row r="637" spans="1:20" x14ac:dyDescent="0.3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36"/>
        <v>1.1409352517985611</v>
      </c>
      <c r="G637" t="s">
        <v>20</v>
      </c>
      <c r="H637">
        <v>2266</v>
      </c>
      <c r="I637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269</v>
      </c>
      <c r="Q637" t="s">
        <v>2040</v>
      </c>
      <c r="R637" t="s">
        <v>2059</v>
      </c>
      <c r="S637" s="7">
        <f t="shared" si="38"/>
        <v>41314.25</v>
      </c>
      <c r="T637" s="8">
        <f t="shared" si="39"/>
        <v>41346.208333333336</v>
      </c>
    </row>
    <row r="638" spans="1:20" x14ac:dyDescent="0.3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36"/>
        <v>0.64537683358624176</v>
      </c>
      <c r="G638" t="s">
        <v>14</v>
      </c>
      <c r="H638">
        <v>2604</v>
      </c>
      <c r="I638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71</v>
      </c>
      <c r="Q638" t="s">
        <v>2040</v>
      </c>
      <c r="R638" t="s">
        <v>2048</v>
      </c>
      <c r="S638" s="7">
        <f t="shared" si="38"/>
        <v>40926.25</v>
      </c>
      <c r="T638" s="8">
        <f t="shared" si="39"/>
        <v>40971.25</v>
      </c>
    </row>
    <row r="639" spans="1:20" x14ac:dyDescent="0.3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36"/>
        <v>0.79411764705882348</v>
      </c>
      <c r="G639" t="s">
        <v>14</v>
      </c>
      <c r="H639">
        <v>65</v>
      </c>
      <c r="I639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">
        <v>2038</v>
      </c>
      <c r="R639" t="s">
        <v>2039</v>
      </c>
      <c r="S639" s="7">
        <f t="shared" si="38"/>
        <v>42688.25</v>
      </c>
      <c r="T639" s="8">
        <f t="shared" si="39"/>
        <v>42696.25</v>
      </c>
    </row>
    <row r="640" spans="1:20" x14ac:dyDescent="0.3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36"/>
        <v>0.11419117647058824</v>
      </c>
      <c r="G640" t="s">
        <v>14</v>
      </c>
      <c r="H640">
        <v>94</v>
      </c>
      <c r="I640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">
        <v>2038</v>
      </c>
      <c r="R640" t="s">
        <v>2039</v>
      </c>
      <c r="S640" s="7">
        <f t="shared" si="38"/>
        <v>40386.208333333336</v>
      </c>
      <c r="T640" s="8">
        <f t="shared" si="39"/>
        <v>40398.208333333336</v>
      </c>
    </row>
    <row r="641" spans="1:20" x14ac:dyDescent="0.3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36"/>
        <v>0.56186046511627907</v>
      </c>
      <c r="G641" t="s">
        <v>47</v>
      </c>
      <c r="H641">
        <v>45</v>
      </c>
      <c r="I641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">
        <v>2040</v>
      </c>
      <c r="R641" t="s">
        <v>2043</v>
      </c>
      <c r="S641" s="7">
        <f t="shared" si="38"/>
        <v>43309.208333333328</v>
      </c>
      <c r="T641" s="8">
        <f t="shared" si="39"/>
        <v>43309.208333333328</v>
      </c>
    </row>
    <row r="642" spans="1:20" x14ac:dyDescent="0.3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36"/>
        <v>0.16501669449081802</v>
      </c>
      <c r="G642" t="s">
        <v>14</v>
      </c>
      <c r="H642">
        <v>257</v>
      </c>
      <c r="I642">
        <f t="shared" si="37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">
        <v>2038</v>
      </c>
      <c r="R642" t="s">
        <v>2039</v>
      </c>
      <c r="S642" s="7">
        <f t="shared" si="38"/>
        <v>42387.25</v>
      </c>
      <c r="T642" s="8">
        <f t="shared" si="39"/>
        <v>42390.25</v>
      </c>
    </row>
    <row r="643" spans="1:20" ht="31" x14ac:dyDescent="0.3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ref="F643:F706" si="40">E643/D643</f>
        <v>1.1996808510638297</v>
      </c>
      <c r="G643" t="s">
        <v>20</v>
      </c>
      <c r="H643">
        <v>194</v>
      </c>
      <c r="I643">
        <f t="shared" ref="I643:I706" si="41">IFERROR(E643/H643, "0")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">
        <v>2038</v>
      </c>
      <c r="R643" t="s">
        <v>2039</v>
      </c>
      <c r="S643" s="7">
        <f t="shared" ref="S643:S706" si="42">(((L643/60)/60)/24)+DATE(1970,1,1)</f>
        <v>42786.25</v>
      </c>
      <c r="T643" s="8">
        <f t="shared" ref="T643:T706" si="43">(((M643/60)/60)/24)+DATE(1970,1,1)</f>
        <v>42814.208333333328</v>
      </c>
    </row>
    <row r="644" spans="1:20" x14ac:dyDescent="0.3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si="40"/>
        <v>1.4545652173913044</v>
      </c>
      <c r="G644" t="s">
        <v>20</v>
      </c>
      <c r="H644">
        <v>129</v>
      </c>
      <c r="I644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65</v>
      </c>
      <c r="Q644" t="s">
        <v>2036</v>
      </c>
      <c r="R644" t="s">
        <v>2045</v>
      </c>
      <c r="S644" s="7">
        <f t="shared" si="42"/>
        <v>43451.25</v>
      </c>
      <c r="T644" s="8">
        <f t="shared" si="43"/>
        <v>43460.25</v>
      </c>
    </row>
    <row r="645" spans="1:20" x14ac:dyDescent="0.3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40"/>
        <v>2.2138255033557046</v>
      </c>
      <c r="G645" t="s">
        <v>20</v>
      </c>
      <c r="H645">
        <v>375</v>
      </c>
      <c r="I645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">
        <v>2038</v>
      </c>
      <c r="R645" t="s">
        <v>2039</v>
      </c>
      <c r="S645" s="7">
        <f t="shared" si="42"/>
        <v>42795.25</v>
      </c>
      <c r="T645" s="8">
        <f t="shared" si="43"/>
        <v>42813.208333333328</v>
      </c>
    </row>
    <row r="646" spans="1:20" x14ac:dyDescent="0.3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40"/>
        <v>0.48396694214876035</v>
      </c>
      <c r="G646" t="s">
        <v>14</v>
      </c>
      <c r="H646">
        <v>2928</v>
      </c>
      <c r="I646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">
        <v>2038</v>
      </c>
      <c r="R646" t="s">
        <v>2039</v>
      </c>
      <c r="S646" s="7">
        <f t="shared" si="42"/>
        <v>43452.25</v>
      </c>
      <c r="T646" s="8">
        <f t="shared" si="43"/>
        <v>43468.25</v>
      </c>
    </row>
    <row r="647" spans="1:20" x14ac:dyDescent="0.3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40"/>
        <v>0.92911504424778757</v>
      </c>
      <c r="G647" t="s">
        <v>14</v>
      </c>
      <c r="H647">
        <v>4697</v>
      </c>
      <c r="I647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">
        <v>2034</v>
      </c>
      <c r="R647" t="s">
        <v>2035</v>
      </c>
      <c r="S647" s="7">
        <f t="shared" si="42"/>
        <v>43369.208333333328</v>
      </c>
      <c r="T647" s="8">
        <f t="shared" si="43"/>
        <v>43390.208333333328</v>
      </c>
    </row>
    <row r="648" spans="1:20" x14ac:dyDescent="0.3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40"/>
        <v>0.88599797365754818</v>
      </c>
      <c r="G648" t="s">
        <v>14</v>
      </c>
      <c r="H648">
        <v>2915</v>
      </c>
      <c r="I648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89</v>
      </c>
      <c r="Q648" t="s">
        <v>2049</v>
      </c>
      <c r="R648" t="s">
        <v>2050</v>
      </c>
      <c r="S648" s="7">
        <f t="shared" si="42"/>
        <v>41346.208333333336</v>
      </c>
      <c r="T648" s="8">
        <f t="shared" si="43"/>
        <v>41357.208333333336</v>
      </c>
    </row>
    <row r="649" spans="1:20" x14ac:dyDescent="0.3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40"/>
        <v>0.41399999999999998</v>
      </c>
      <c r="G649" t="s">
        <v>14</v>
      </c>
      <c r="H649">
        <v>18</v>
      </c>
      <c r="I649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206</v>
      </c>
      <c r="Q649" t="s">
        <v>2046</v>
      </c>
      <c r="R649" t="s">
        <v>2058</v>
      </c>
      <c r="S649" s="7">
        <f t="shared" si="42"/>
        <v>43199.208333333328</v>
      </c>
      <c r="T649" s="8">
        <f t="shared" si="43"/>
        <v>43223.208333333328</v>
      </c>
    </row>
    <row r="650" spans="1:20" x14ac:dyDescent="0.3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40"/>
        <v>0.63056795131845844</v>
      </c>
      <c r="G650" t="s">
        <v>74</v>
      </c>
      <c r="H650">
        <v>723</v>
      </c>
      <c r="I650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">
        <v>2032</v>
      </c>
      <c r="R650" t="s">
        <v>2033</v>
      </c>
      <c r="S650" s="7">
        <f t="shared" si="42"/>
        <v>42922.208333333328</v>
      </c>
      <c r="T650" s="8">
        <f t="shared" si="43"/>
        <v>42940.208333333328</v>
      </c>
    </row>
    <row r="651" spans="1:20" x14ac:dyDescent="0.3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40"/>
        <v>0.48482333607230893</v>
      </c>
      <c r="G651" t="s">
        <v>14</v>
      </c>
      <c r="H651">
        <v>602</v>
      </c>
      <c r="I651">
        <f t="shared" si="4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">
        <v>2038</v>
      </c>
      <c r="R651" t="s">
        <v>2039</v>
      </c>
      <c r="S651" s="7">
        <f t="shared" si="42"/>
        <v>40471.208333333336</v>
      </c>
      <c r="T651" s="8">
        <f t="shared" si="43"/>
        <v>40482.208333333336</v>
      </c>
    </row>
    <row r="652" spans="1:20" x14ac:dyDescent="0.3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40"/>
        <v>0.02</v>
      </c>
      <c r="G652" t="s">
        <v>14</v>
      </c>
      <c r="H652">
        <v>1</v>
      </c>
      <c r="I652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159</v>
      </c>
      <c r="Q652" t="s">
        <v>2034</v>
      </c>
      <c r="R652" t="s">
        <v>2057</v>
      </c>
      <c r="S652" s="7">
        <f t="shared" si="42"/>
        <v>41828.208333333336</v>
      </c>
      <c r="T652" s="8">
        <f t="shared" si="43"/>
        <v>41855.208333333336</v>
      </c>
    </row>
    <row r="653" spans="1:20" x14ac:dyDescent="0.3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40"/>
        <v>0.88479410269445857</v>
      </c>
      <c r="G653" t="s">
        <v>14</v>
      </c>
      <c r="H653">
        <v>3868</v>
      </c>
      <c r="I653">
        <f t="shared" si="4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t="b">
        <v>0</v>
      </c>
      <c r="O653" t="b">
        <v>0</v>
      </c>
      <c r="P653" t="s">
        <v>100</v>
      </c>
      <c r="Q653" t="s">
        <v>2040</v>
      </c>
      <c r="R653" t="s">
        <v>2051</v>
      </c>
      <c r="S653" s="7">
        <f t="shared" si="42"/>
        <v>41692.25</v>
      </c>
      <c r="T653" s="8">
        <f t="shared" si="43"/>
        <v>41707.25</v>
      </c>
    </row>
    <row r="654" spans="1:20" x14ac:dyDescent="0.3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40"/>
        <v>1.2684</v>
      </c>
      <c r="G654" t="s">
        <v>20</v>
      </c>
      <c r="H654">
        <v>409</v>
      </c>
      <c r="I654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">
        <v>2036</v>
      </c>
      <c r="R654" t="s">
        <v>2037</v>
      </c>
      <c r="S654" s="7">
        <f t="shared" si="42"/>
        <v>42587.208333333328</v>
      </c>
      <c r="T654" s="8">
        <f t="shared" si="43"/>
        <v>42630.208333333328</v>
      </c>
    </row>
    <row r="655" spans="1:20" x14ac:dyDescent="0.3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40"/>
        <v>23.388333333333332</v>
      </c>
      <c r="G655" t="s">
        <v>20</v>
      </c>
      <c r="H655">
        <v>234</v>
      </c>
      <c r="I655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">
        <v>2036</v>
      </c>
      <c r="R655" t="s">
        <v>2037</v>
      </c>
      <c r="S655" s="7">
        <f t="shared" si="42"/>
        <v>42468.208333333328</v>
      </c>
      <c r="T655" s="8">
        <f t="shared" si="43"/>
        <v>42470.208333333328</v>
      </c>
    </row>
    <row r="656" spans="1:20" x14ac:dyDescent="0.3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40"/>
        <v>5.0838857142857146</v>
      </c>
      <c r="G656" t="s">
        <v>20</v>
      </c>
      <c r="H656">
        <v>3016</v>
      </c>
      <c r="I656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148</v>
      </c>
      <c r="Q656" t="s">
        <v>2034</v>
      </c>
      <c r="R656" t="s">
        <v>2056</v>
      </c>
      <c r="S656" s="7">
        <f t="shared" si="42"/>
        <v>42240.208333333328</v>
      </c>
      <c r="T656" s="8">
        <f t="shared" si="43"/>
        <v>42245.208333333328</v>
      </c>
    </row>
    <row r="657" spans="1:20" x14ac:dyDescent="0.3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40"/>
        <v>1.9147826086956521</v>
      </c>
      <c r="G657" t="s">
        <v>20</v>
      </c>
      <c r="H657">
        <v>264</v>
      </c>
      <c r="I657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122</v>
      </c>
      <c r="Q657" t="s">
        <v>2053</v>
      </c>
      <c r="R657" t="s">
        <v>2054</v>
      </c>
      <c r="S657" s="7">
        <f t="shared" si="42"/>
        <v>42796.25</v>
      </c>
      <c r="T657" s="8">
        <f t="shared" si="43"/>
        <v>42809.208333333328</v>
      </c>
    </row>
    <row r="658" spans="1:20" ht="31" x14ac:dyDescent="0.3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40"/>
        <v>0.42127533783783783</v>
      </c>
      <c r="G658" t="s">
        <v>14</v>
      </c>
      <c r="H658">
        <v>504</v>
      </c>
      <c r="I658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">
        <v>2032</v>
      </c>
      <c r="R658" t="s">
        <v>2033</v>
      </c>
      <c r="S658" s="7">
        <f t="shared" si="42"/>
        <v>43097.25</v>
      </c>
      <c r="T658" s="8">
        <f t="shared" si="43"/>
        <v>43102.25</v>
      </c>
    </row>
    <row r="659" spans="1:20" x14ac:dyDescent="0.3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40"/>
        <v>8.2400000000000001E-2</v>
      </c>
      <c r="G659" t="s">
        <v>14</v>
      </c>
      <c r="H659">
        <v>14</v>
      </c>
      <c r="I659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474</v>
      </c>
      <c r="Q659" t="s">
        <v>2040</v>
      </c>
      <c r="R659" t="s">
        <v>2062</v>
      </c>
      <c r="S659" s="7">
        <f t="shared" si="42"/>
        <v>43096.25</v>
      </c>
      <c r="T659" s="8">
        <f t="shared" si="43"/>
        <v>43112.25</v>
      </c>
    </row>
    <row r="660" spans="1:20" x14ac:dyDescent="0.3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40"/>
        <v>0.60064638783269964</v>
      </c>
      <c r="G660" t="s">
        <v>74</v>
      </c>
      <c r="H660">
        <v>390</v>
      </c>
      <c r="I660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">
        <v>2034</v>
      </c>
      <c r="R660" t="s">
        <v>2035</v>
      </c>
      <c r="S660" s="7">
        <f t="shared" si="42"/>
        <v>42246.208333333328</v>
      </c>
      <c r="T660" s="8">
        <f t="shared" si="43"/>
        <v>42269.208333333328</v>
      </c>
    </row>
    <row r="661" spans="1:20" x14ac:dyDescent="0.3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40"/>
        <v>0.47232808616404309</v>
      </c>
      <c r="G661" t="s">
        <v>14</v>
      </c>
      <c r="H661">
        <v>750</v>
      </c>
      <c r="I661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">
        <v>2040</v>
      </c>
      <c r="R661" t="s">
        <v>2041</v>
      </c>
      <c r="S661" s="7">
        <f t="shared" si="42"/>
        <v>40570.25</v>
      </c>
      <c r="T661" s="8">
        <f t="shared" si="43"/>
        <v>40571.25</v>
      </c>
    </row>
    <row r="662" spans="1:20" x14ac:dyDescent="0.3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40"/>
        <v>0.81736263736263737</v>
      </c>
      <c r="G662" t="s">
        <v>14</v>
      </c>
      <c r="H662">
        <v>77</v>
      </c>
      <c r="I662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">
        <v>2038</v>
      </c>
      <c r="R662" t="s">
        <v>2039</v>
      </c>
      <c r="S662" s="7">
        <f t="shared" si="42"/>
        <v>42237.208333333328</v>
      </c>
      <c r="T662" s="8">
        <f t="shared" si="43"/>
        <v>42246.208333333328</v>
      </c>
    </row>
    <row r="663" spans="1:20" x14ac:dyDescent="0.3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40"/>
        <v>0.54187265917603</v>
      </c>
      <c r="G663" t="s">
        <v>14</v>
      </c>
      <c r="H663">
        <v>752</v>
      </c>
      <c r="I663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159</v>
      </c>
      <c r="Q663" t="s">
        <v>2034</v>
      </c>
      <c r="R663" t="s">
        <v>2057</v>
      </c>
      <c r="S663" s="7">
        <f t="shared" si="42"/>
        <v>40996.208333333336</v>
      </c>
      <c r="T663" s="8">
        <f t="shared" si="43"/>
        <v>41026.208333333336</v>
      </c>
    </row>
    <row r="664" spans="1:20" x14ac:dyDescent="0.3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40"/>
        <v>0.97868131868131869</v>
      </c>
      <c r="G664" t="s">
        <v>14</v>
      </c>
      <c r="H664">
        <v>131</v>
      </c>
      <c r="I664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">
        <v>2038</v>
      </c>
      <c r="R664" t="s">
        <v>2039</v>
      </c>
      <c r="S664" s="7">
        <f t="shared" si="42"/>
        <v>43443.25</v>
      </c>
      <c r="T664" s="8">
        <f t="shared" si="43"/>
        <v>43447.25</v>
      </c>
    </row>
    <row r="665" spans="1:20" x14ac:dyDescent="0.3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40"/>
        <v>0.77239999999999998</v>
      </c>
      <c r="G665" t="s">
        <v>14</v>
      </c>
      <c r="H665">
        <v>87</v>
      </c>
      <c r="I665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">
        <v>2038</v>
      </c>
      <c r="R665" t="s">
        <v>2039</v>
      </c>
      <c r="S665" s="7">
        <f t="shared" si="42"/>
        <v>40458.208333333336</v>
      </c>
      <c r="T665" s="8">
        <f t="shared" si="43"/>
        <v>40481.208333333336</v>
      </c>
    </row>
    <row r="666" spans="1:20" x14ac:dyDescent="0.3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40"/>
        <v>0.33464735516372796</v>
      </c>
      <c r="G666" t="s">
        <v>14</v>
      </c>
      <c r="H666">
        <v>1063</v>
      </c>
      <c r="I666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159</v>
      </c>
      <c r="Q666" t="s">
        <v>2034</v>
      </c>
      <c r="R666" t="s">
        <v>2057</v>
      </c>
      <c r="S666" s="7">
        <f t="shared" si="42"/>
        <v>40959.25</v>
      </c>
      <c r="T666" s="8">
        <f t="shared" si="43"/>
        <v>40969.25</v>
      </c>
    </row>
    <row r="667" spans="1:20" x14ac:dyDescent="0.3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40"/>
        <v>2.3958823529411766</v>
      </c>
      <c r="G667" t="s">
        <v>20</v>
      </c>
      <c r="H667">
        <v>272</v>
      </c>
      <c r="I667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">
        <v>2040</v>
      </c>
      <c r="R667" t="s">
        <v>2041</v>
      </c>
      <c r="S667" s="7">
        <f t="shared" si="42"/>
        <v>40733.208333333336</v>
      </c>
      <c r="T667" s="8">
        <f t="shared" si="43"/>
        <v>40747.208333333336</v>
      </c>
    </row>
    <row r="668" spans="1:20" x14ac:dyDescent="0.3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40"/>
        <v>0.64032258064516134</v>
      </c>
      <c r="G668" t="s">
        <v>74</v>
      </c>
      <c r="H668">
        <v>25</v>
      </c>
      <c r="I668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">
        <v>2038</v>
      </c>
      <c r="R668" t="s">
        <v>2039</v>
      </c>
      <c r="S668" s="7">
        <f t="shared" si="42"/>
        <v>41516.208333333336</v>
      </c>
      <c r="T668" s="8">
        <f t="shared" si="43"/>
        <v>41522.208333333336</v>
      </c>
    </row>
    <row r="669" spans="1:20" ht="31" x14ac:dyDescent="0.3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40"/>
        <v>1.7615942028985507</v>
      </c>
      <c r="G669" t="s">
        <v>20</v>
      </c>
      <c r="H669">
        <v>419</v>
      </c>
      <c r="I669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1029</v>
      </c>
      <c r="Q669" t="s">
        <v>2063</v>
      </c>
      <c r="R669" t="s">
        <v>2064</v>
      </c>
      <c r="S669" s="7">
        <f t="shared" si="42"/>
        <v>41892.208333333336</v>
      </c>
      <c r="T669" s="8">
        <f t="shared" si="43"/>
        <v>41901.208333333336</v>
      </c>
    </row>
    <row r="670" spans="1:20" ht="31" x14ac:dyDescent="0.3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40"/>
        <v>0.20338181818181819</v>
      </c>
      <c r="G670" t="s">
        <v>14</v>
      </c>
      <c r="H670">
        <v>76</v>
      </c>
      <c r="I670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">
        <v>2038</v>
      </c>
      <c r="R670" t="s">
        <v>2039</v>
      </c>
      <c r="S670" s="7">
        <f t="shared" si="42"/>
        <v>41122.208333333336</v>
      </c>
      <c r="T670" s="8">
        <f t="shared" si="43"/>
        <v>41134.208333333336</v>
      </c>
    </row>
    <row r="671" spans="1:20" x14ac:dyDescent="0.3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40"/>
        <v>3.5864754098360656</v>
      </c>
      <c r="G671" t="s">
        <v>20</v>
      </c>
      <c r="H671">
        <v>1621</v>
      </c>
      <c r="I671">
        <f t="shared" si="4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">
        <v>2038</v>
      </c>
      <c r="R671" t="s">
        <v>2039</v>
      </c>
      <c r="S671" s="7">
        <f t="shared" si="42"/>
        <v>42912.208333333328</v>
      </c>
      <c r="T671" s="8">
        <f t="shared" si="43"/>
        <v>42921.208333333328</v>
      </c>
    </row>
    <row r="672" spans="1:20" ht="31" x14ac:dyDescent="0.3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40"/>
        <v>4.6885802469135802</v>
      </c>
      <c r="G672" t="s">
        <v>20</v>
      </c>
      <c r="H672">
        <v>1101</v>
      </c>
      <c r="I672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60</v>
      </c>
      <c r="Q672" t="s">
        <v>2034</v>
      </c>
      <c r="R672" t="s">
        <v>2044</v>
      </c>
      <c r="S672" s="7">
        <f t="shared" si="42"/>
        <v>42425.25</v>
      </c>
      <c r="T672" s="8">
        <f t="shared" si="43"/>
        <v>42437.25</v>
      </c>
    </row>
    <row r="673" spans="1:20" ht="31" x14ac:dyDescent="0.3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40"/>
        <v>1.220563524590164</v>
      </c>
      <c r="G673" t="s">
        <v>20</v>
      </c>
      <c r="H673">
        <v>1073</v>
      </c>
      <c r="I673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">
        <v>2038</v>
      </c>
      <c r="R673" t="s">
        <v>2039</v>
      </c>
      <c r="S673" s="7">
        <f t="shared" si="42"/>
        <v>40390.208333333336</v>
      </c>
      <c r="T673" s="8">
        <f t="shared" si="43"/>
        <v>40394.208333333336</v>
      </c>
    </row>
    <row r="674" spans="1:20" x14ac:dyDescent="0.3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40"/>
        <v>0.55931783729156137</v>
      </c>
      <c r="G674" t="s">
        <v>14</v>
      </c>
      <c r="H674">
        <v>4428</v>
      </c>
      <c r="I674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">
        <v>2038</v>
      </c>
      <c r="R674" t="s">
        <v>2039</v>
      </c>
      <c r="S674" s="7">
        <f t="shared" si="42"/>
        <v>43180.208333333328</v>
      </c>
      <c r="T674" s="8">
        <f t="shared" si="43"/>
        <v>43190.208333333328</v>
      </c>
    </row>
    <row r="675" spans="1:20" x14ac:dyDescent="0.3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40"/>
        <v>0.43660714285714286</v>
      </c>
      <c r="G675" t="s">
        <v>14</v>
      </c>
      <c r="H675">
        <v>58</v>
      </c>
      <c r="I675">
        <f t="shared" si="4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t="b">
        <v>0</v>
      </c>
      <c r="O675" t="b">
        <v>0</v>
      </c>
      <c r="P675" t="s">
        <v>60</v>
      </c>
      <c r="Q675" t="s">
        <v>2034</v>
      </c>
      <c r="R675" t="s">
        <v>2044</v>
      </c>
      <c r="S675" s="7">
        <f t="shared" si="42"/>
        <v>42475.208333333328</v>
      </c>
      <c r="T675" s="8">
        <f t="shared" si="43"/>
        <v>42496.208333333328</v>
      </c>
    </row>
    <row r="676" spans="1:20" x14ac:dyDescent="0.3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40"/>
        <v>0.33538371411833628</v>
      </c>
      <c r="G676" t="s">
        <v>74</v>
      </c>
      <c r="H676">
        <v>1218</v>
      </c>
      <c r="I676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122</v>
      </c>
      <c r="Q676" t="s">
        <v>2053</v>
      </c>
      <c r="R676" t="s">
        <v>2054</v>
      </c>
      <c r="S676" s="7">
        <f t="shared" si="42"/>
        <v>40774.208333333336</v>
      </c>
      <c r="T676" s="8">
        <f t="shared" si="43"/>
        <v>40821.208333333336</v>
      </c>
    </row>
    <row r="677" spans="1:20" x14ac:dyDescent="0.3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40"/>
        <v>1.2297938144329896</v>
      </c>
      <c r="G677" t="s">
        <v>20</v>
      </c>
      <c r="H677">
        <v>331</v>
      </c>
      <c r="I677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1029</v>
      </c>
      <c r="Q677" t="s">
        <v>2063</v>
      </c>
      <c r="R677" t="s">
        <v>2064</v>
      </c>
      <c r="S677" s="7">
        <f t="shared" si="42"/>
        <v>43719.208333333328</v>
      </c>
      <c r="T677" s="8">
        <f t="shared" si="43"/>
        <v>43726.208333333328</v>
      </c>
    </row>
    <row r="678" spans="1:20" x14ac:dyDescent="0.3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40"/>
        <v>1.8974959871589085</v>
      </c>
      <c r="G678" t="s">
        <v>20</v>
      </c>
      <c r="H678">
        <v>1170</v>
      </c>
      <c r="I678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122</v>
      </c>
      <c r="Q678" t="s">
        <v>2053</v>
      </c>
      <c r="R678" t="s">
        <v>2054</v>
      </c>
      <c r="S678" s="7">
        <f t="shared" si="42"/>
        <v>41178.208333333336</v>
      </c>
      <c r="T678" s="8">
        <f t="shared" si="43"/>
        <v>41187.208333333336</v>
      </c>
    </row>
    <row r="679" spans="1:20" x14ac:dyDescent="0.3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40"/>
        <v>0.83622641509433959</v>
      </c>
      <c r="G679" t="s">
        <v>14</v>
      </c>
      <c r="H679">
        <v>111</v>
      </c>
      <c r="I679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119</v>
      </c>
      <c r="Q679" t="s">
        <v>2046</v>
      </c>
      <c r="R679" t="s">
        <v>2052</v>
      </c>
      <c r="S679" s="7">
        <f t="shared" si="42"/>
        <v>42561.208333333328</v>
      </c>
      <c r="T679" s="8">
        <f t="shared" si="43"/>
        <v>42611.208333333328</v>
      </c>
    </row>
    <row r="680" spans="1:20" x14ac:dyDescent="0.3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40"/>
        <v>0.17968844221105529</v>
      </c>
      <c r="G680" t="s">
        <v>74</v>
      </c>
      <c r="H680">
        <v>215</v>
      </c>
      <c r="I680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">
        <v>2040</v>
      </c>
      <c r="R680" t="s">
        <v>2043</v>
      </c>
      <c r="S680" s="7">
        <f t="shared" si="42"/>
        <v>43484.25</v>
      </c>
      <c r="T680" s="8">
        <f t="shared" si="43"/>
        <v>43486.25</v>
      </c>
    </row>
    <row r="681" spans="1:20" x14ac:dyDescent="0.3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40"/>
        <v>10.365</v>
      </c>
      <c r="G681" t="s">
        <v>20</v>
      </c>
      <c r="H681">
        <v>363</v>
      </c>
      <c r="I681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">
        <v>2032</v>
      </c>
      <c r="R681" t="s">
        <v>2033</v>
      </c>
      <c r="S681" s="7">
        <f t="shared" si="42"/>
        <v>43756.208333333328</v>
      </c>
      <c r="T681" s="8">
        <f t="shared" si="43"/>
        <v>43761.208333333328</v>
      </c>
    </row>
    <row r="682" spans="1:20" ht="31" x14ac:dyDescent="0.3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40"/>
        <v>0.97405219780219776</v>
      </c>
      <c r="G682" t="s">
        <v>14</v>
      </c>
      <c r="H682">
        <v>2955</v>
      </c>
      <c r="I682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292</v>
      </c>
      <c r="Q682" t="s">
        <v>2049</v>
      </c>
      <c r="R682" t="s">
        <v>2060</v>
      </c>
      <c r="S682" s="7">
        <f t="shared" si="42"/>
        <v>43813.25</v>
      </c>
      <c r="T682" s="8">
        <f t="shared" si="43"/>
        <v>43815.25</v>
      </c>
    </row>
    <row r="683" spans="1:20" ht="31" x14ac:dyDescent="0.3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40"/>
        <v>0.86386203150461705</v>
      </c>
      <c r="G683" t="s">
        <v>14</v>
      </c>
      <c r="H683">
        <v>1657</v>
      </c>
      <c r="I683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">
        <v>2038</v>
      </c>
      <c r="R683" t="s">
        <v>2039</v>
      </c>
      <c r="S683" s="7">
        <f t="shared" si="42"/>
        <v>40898.25</v>
      </c>
      <c r="T683" s="8">
        <f t="shared" si="43"/>
        <v>40904.25</v>
      </c>
    </row>
    <row r="684" spans="1:20" x14ac:dyDescent="0.3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40"/>
        <v>1.5016666666666667</v>
      </c>
      <c r="G684" t="s">
        <v>20</v>
      </c>
      <c r="H684">
        <v>103</v>
      </c>
      <c r="I684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">
        <v>2038</v>
      </c>
      <c r="R684" t="s">
        <v>2039</v>
      </c>
      <c r="S684" s="7">
        <f t="shared" si="42"/>
        <v>41619.25</v>
      </c>
      <c r="T684" s="8">
        <f t="shared" si="43"/>
        <v>41628.25</v>
      </c>
    </row>
    <row r="685" spans="1:20" x14ac:dyDescent="0.3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40"/>
        <v>3.5843478260869563</v>
      </c>
      <c r="G685" t="s">
        <v>20</v>
      </c>
      <c r="H685">
        <v>147</v>
      </c>
      <c r="I685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">
        <v>2038</v>
      </c>
      <c r="R685" t="s">
        <v>2039</v>
      </c>
      <c r="S685" s="7">
        <f t="shared" si="42"/>
        <v>43359.208333333328</v>
      </c>
      <c r="T685" s="8">
        <f t="shared" si="43"/>
        <v>43361.208333333328</v>
      </c>
    </row>
    <row r="686" spans="1:20" x14ac:dyDescent="0.3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40"/>
        <v>5.4285714285714288</v>
      </c>
      <c r="G686" t="s">
        <v>20</v>
      </c>
      <c r="H686">
        <v>110</v>
      </c>
      <c r="I686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68</v>
      </c>
      <c r="Q686" t="s">
        <v>2046</v>
      </c>
      <c r="R686" t="s">
        <v>2047</v>
      </c>
      <c r="S686" s="7">
        <f t="shared" si="42"/>
        <v>40358.208333333336</v>
      </c>
      <c r="T686" s="8">
        <f t="shared" si="43"/>
        <v>40378.208333333336</v>
      </c>
    </row>
    <row r="687" spans="1:20" x14ac:dyDescent="0.3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40"/>
        <v>0.67500714285714281</v>
      </c>
      <c r="G687" t="s">
        <v>14</v>
      </c>
      <c r="H687">
        <v>926</v>
      </c>
      <c r="I687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">
        <v>2038</v>
      </c>
      <c r="R687" t="s">
        <v>2039</v>
      </c>
      <c r="S687" s="7">
        <f t="shared" si="42"/>
        <v>42239.208333333328</v>
      </c>
      <c r="T687" s="8">
        <f t="shared" si="43"/>
        <v>42263.208333333328</v>
      </c>
    </row>
    <row r="688" spans="1:20" x14ac:dyDescent="0.3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40"/>
        <v>1.9174666666666667</v>
      </c>
      <c r="G688" t="s">
        <v>20</v>
      </c>
      <c r="H688">
        <v>134</v>
      </c>
      <c r="I688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65</v>
      </c>
      <c r="Q688" t="s">
        <v>2036</v>
      </c>
      <c r="R688" t="s">
        <v>2045</v>
      </c>
      <c r="S688" s="7">
        <f t="shared" si="42"/>
        <v>43186.208333333328</v>
      </c>
      <c r="T688" s="8">
        <f t="shared" si="43"/>
        <v>43197.208333333328</v>
      </c>
    </row>
    <row r="689" spans="1:20" x14ac:dyDescent="0.3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40"/>
        <v>9.32</v>
      </c>
      <c r="G689" t="s">
        <v>20</v>
      </c>
      <c r="H689">
        <v>269</v>
      </c>
      <c r="I689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">
        <v>2038</v>
      </c>
      <c r="R689" t="s">
        <v>2039</v>
      </c>
      <c r="S689" s="7">
        <f t="shared" si="42"/>
        <v>42806.25</v>
      </c>
      <c r="T689" s="8">
        <f t="shared" si="43"/>
        <v>42809.208333333328</v>
      </c>
    </row>
    <row r="690" spans="1:20" x14ac:dyDescent="0.3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40"/>
        <v>4.2927586206896553</v>
      </c>
      <c r="G690" t="s">
        <v>20</v>
      </c>
      <c r="H690">
        <v>175</v>
      </c>
      <c r="I690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269</v>
      </c>
      <c r="Q690" t="s">
        <v>2040</v>
      </c>
      <c r="R690" t="s">
        <v>2059</v>
      </c>
      <c r="S690" s="7">
        <f t="shared" si="42"/>
        <v>43475.25</v>
      </c>
      <c r="T690" s="8">
        <f t="shared" si="43"/>
        <v>43491.25</v>
      </c>
    </row>
    <row r="691" spans="1:20" x14ac:dyDescent="0.3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40"/>
        <v>1.0065753424657535</v>
      </c>
      <c r="G691" t="s">
        <v>20</v>
      </c>
      <c r="H691">
        <v>69</v>
      </c>
      <c r="I691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">
        <v>2036</v>
      </c>
      <c r="R691" t="s">
        <v>2037</v>
      </c>
      <c r="S691" s="7">
        <f t="shared" si="42"/>
        <v>41576.208333333336</v>
      </c>
      <c r="T691" s="8">
        <f t="shared" si="43"/>
        <v>41588.25</v>
      </c>
    </row>
    <row r="692" spans="1:20" x14ac:dyDescent="0.3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40"/>
        <v>2.266111111111111</v>
      </c>
      <c r="G692" t="s">
        <v>20</v>
      </c>
      <c r="H692">
        <v>190</v>
      </c>
      <c r="I692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">
        <v>2040</v>
      </c>
      <c r="R692" t="s">
        <v>2041</v>
      </c>
      <c r="S692" s="7">
        <f t="shared" si="42"/>
        <v>40874.25</v>
      </c>
      <c r="T692" s="8">
        <f t="shared" si="43"/>
        <v>40880.25</v>
      </c>
    </row>
    <row r="693" spans="1:20" x14ac:dyDescent="0.3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40"/>
        <v>1.4238</v>
      </c>
      <c r="G693" t="s">
        <v>20</v>
      </c>
      <c r="H693">
        <v>237</v>
      </c>
      <c r="I693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">
        <v>2040</v>
      </c>
      <c r="R693" t="s">
        <v>2041</v>
      </c>
      <c r="S693" s="7">
        <f t="shared" si="42"/>
        <v>41185.208333333336</v>
      </c>
      <c r="T693" s="8">
        <f t="shared" si="43"/>
        <v>41202.208333333336</v>
      </c>
    </row>
    <row r="694" spans="1:20" x14ac:dyDescent="0.3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40"/>
        <v>0.90633333333333332</v>
      </c>
      <c r="G694" t="s">
        <v>14</v>
      </c>
      <c r="H694">
        <v>77</v>
      </c>
      <c r="I694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">
        <v>2034</v>
      </c>
      <c r="R694" t="s">
        <v>2035</v>
      </c>
      <c r="S694" s="7">
        <f t="shared" si="42"/>
        <v>43655.208333333328</v>
      </c>
      <c r="T694" s="8">
        <f t="shared" si="43"/>
        <v>43673.208333333328</v>
      </c>
    </row>
    <row r="695" spans="1:20" ht="31" x14ac:dyDescent="0.3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40"/>
        <v>0.63966740576496672</v>
      </c>
      <c r="G695" t="s">
        <v>14</v>
      </c>
      <c r="H695">
        <v>1748</v>
      </c>
      <c r="I695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">
        <v>2038</v>
      </c>
      <c r="R695" t="s">
        <v>2039</v>
      </c>
      <c r="S695" s="7">
        <f t="shared" si="42"/>
        <v>43025.208333333328</v>
      </c>
      <c r="T695" s="8">
        <f t="shared" si="43"/>
        <v>43042.208333333328</v>
      </c>
    </row>
    <row r="696" spans="1:20" x14ac:dyDescent="0.3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40"/>
        <v>0.84131868131868137</v>
      </c>
      <c r="G696" t="s">
        <v>14</v>
      </c>
      <c r="H696">
        <v>79</v>
      </c>
      <c r="I696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">
        <v>2038</v>
      </c>
      <c r="R696" t="s">
        <v>2039</v>
      </c>
      <c r="S696" s="7">
        <f t="shared" si="42"/>
        <v>43066.25</v>
      </c>
      <c r="T696" s="8">
        <f t="shared" si="43"/>
        <v>43103.25</v>
      </c>
    </row>
    <row r="697" spans="1:20" x14ac:dyDescent="0.3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40"/>
        <v>1.3393478260869565</v>
      </c>
      <c r="G697" t="s">
        <v>20</v>
      </c>
      <c r="H697">
        <v>196</v>
      </c>
      <c r="I697">
        <f t="shared" si="4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">
        <v>2034</v>
      </c>
      <c r="R697" t="s">
        <v>2035</v>
      </c>
      <c r="S697" s="7">
        <f t="shared" si="42"/>
        <v>42322.25</v>
      </c>
      <c r="T697" s="8">
        <f t="shared" si="43"/>
        <v>42338.25</v>
      </c>
    </row>
    <row r="698" spans="1:20" x14ac:dyDescent="0.3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40"/>
        <v>0.59042047531992692</v>
      </c>
      <c r="G698" t="s">
        <v>14</v>
      </c>
      <c r="H698">
        <v>889</v>
      </c>
      <c r="I698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">
        <v>2038</v>
      </c>
      <c r="R698" t="s">
        <v>2039</v>
      </c>
      <c r="S698" s="7">
        <f t="shared" si="42"/>
        <v>42114.208333333328</v>
      </c>
      <c r="T698" s="8">
        <f t="shared" si="43"/>
        <v>42115.208333333328</v>
      </c>
    </row>
    <row r="699" spans="1:20" ht="31" x14ac:dyDescent="0.3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40"/>
        <v>1.5280062063615205</v>
      </c>
      <c r="G699" t="s">
        <v>20</v>
      </c>
      <c r="H699">
        <v>7295</v>
      </c>
      <c r="I699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">
        <v>2034</v>
      </c>
      <c r="R699" t="s">
        <v>2042</v>
      </c>
      <c r="S699" s="7">
        <f t="shared" si="42"/>
        <v>43190.208333333328</v>
      </c>
      <c r="T699" s="8">
        <f t="shared" si="43"/>
        <v>43192.208333333328</v>
      </c>
    </row>
    <row r="700" spans="1:20" x14ac:dyDescent="0.3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40"/>
        <v>4.466912114014252</v>
      </c>
      <c r="G700" t="s">
        <v>20</v>
      </c>
      <c r="H700">
        <v>2893</v>
      </c>
      <c r="I700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65</v>
      </c>
      <c r="Q700" t="s">
        <v>2036</v>
      </c>
      <c r="R700" t="s">
        <v>2045</v>
      </c>
      <c r="S700" s="7">
        <f t="shared" si="42"/>
        <v>40871.25</v>
      </c>
      <c r="T700" s="8">
        <f t="shared" si="43"/>
        <v>40885.25</v>
      </c>
    </row>
    <row r="701" spans="1:20" x14ac:dyDescent="0.3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40"/>
        <v>0.8439189189189189</v>
      </c>
      <c r="G701" t="s">
        <v>14</v>
      </c>
      <c r="H701">
        <v>56</v>
      </c>
      <c r="I701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">
        <v>2040</v>
      </c>
      <c r="R701" t="s">
        <v>2043</v>
      </c>
      <c r="S701" s="7">
        <f t="shared" si="42"/>
        <v>43641.208333333328</v>
      </c>
      <c r="T701" s="8">
        <f t="shared" si="43"/>
        <v>43642.208333333328</v>
      </c>
    </row>
    <row r="702" spans="1:20" ht="31" x14ac:dyDescent="0.3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40"/>
        <v>0.03</v>
      </c>
      <c r="G702" t="s">
        <v>14</v>
      </c>
      <c r="H702">
        <v>1</v>
      </c>
      <c r="I702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65</v>
      </c>
      <c r="Q702" t="s">
        <v>2036</v>
      </c>
      <c r="R702" t="s">
        <v>2045</v>
      </c>
      <c r="S702" s="7">
        <f t="shared" si="42"/>
        <v>40203.25</v>
      </c>
      <c r="T702" s="8">
        <f t="shared" si="43"/>
        <v>40218.25</v>
      </c>
    </row>
    <row r="703" spans="1:20" ht="31" x14ac:dyDescent="0.3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40"/>
        <v>1.7502692307692307</v>
      </c>
      <c r="G703" t="s">
        <v>20</v>
      </c>
      <c r="H703">
        <v>820</v>
      </c>
      <c r="I703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">
        <v>2038</v>
      </c>
      <c r="R703" t="s">
        <v>2039</v>
      </c>
      <c r="S703" s="7">
        <f t="shared" si="42"/>
        <v>40629.208333333336</v>
      </c>
      <c r="T703" s="8">
        <f t="shared" si="43"/>
        <v>40636.208333333336</v>
      </c>
    </row>
    <row r="704" spans="1:20" ht="31" x14ac:dyDescent="0.3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40"/>
        <v>0.54137931034482756</v>
      </c>
      <c r="G704" t="s">
        <v>14</v>
      </c>
      <c r="H704">
        <v>83</v>
      </c>
      <c r="I704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65</v>
      </c>
      <c r="Q704" t="s">
        <v>2036</v>
      </c>
      <c r="R704" t="s">
        <v>2045</v>
      </c>
      <c r="S704" s="7">
        <f t="shared" si="42"/>
        <v>41477.208333333336</v>
      </c>
      <c r="T704" s="8">
        <f t="shared" si="43"/>
        <v>41482.208333333336</v>
      </c>
    </row>
    <row r="705" spans="1:20" x14ac:dyDescent="0.3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40"/>
        <v>3.1187381703470032</v>
      </c>
      <c r="G705" t="s">
        <v>20</v>
      </c>
      <c r="H705">
        <v>2038</v>
      </c>
      <c r="I705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206</v>
      </c>
      <c r="Q705" t="s">
        <v>2046</v>
      </c>
      <c r="R705" t="s">
        <v>2058</v>
      </c>
      <c r="S705" s="7">
        <f t="shared" si="42"/>
        <v>41020.208333333336</v>
      </c>
      <c r="T705" s="8">
        <f t="shared" si="43"/>
        <v>41037.208333333336</v>
      </c>
    </row>
    <row r="706" spans="1:20" ht="31" x14ac:dyDescent="0.3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40"/>
        <v>1.2278160919540231</v>
      </c>
      <c r="G706" t="s">
        <v>20</v>
      </c>
      <c r="H706">
        <v>116</v>
      </c>
      <c r="I706">
        <f t="shared" si="4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71</v>
      </c>
      <c r="Q706" t="s">
        <v>2040</v>
      </c>
      <c r="R706" t="s">
        <v>2048</v>
      </c>
      <c r="S706" s="7">
        <f t="shared" si="42"/>
        <v>42555.208333333328</v>
      </c>
      <c r="T706" s="8">
        <f t="shared" si="43"/>
        <v>42570.208333333328</v>
      </c>
    </row>
    <row r="707" spans="1:20" x14ac:dyDescent="0.3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ref="F707:F770" si="44">E707/D707</f>
        <v>0.99026517383618151</v>
      </c>
      <c r="G707" t="s">
        <v>14</v>
      </c>
      <c r="H707">
        <v>2025</v>
      </c>
      <c r="I707">
        <f t="shared" ref="I707:I770" si="45">IFERROR(E707/H707, "0")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68</v>
      </c>
      <c r="Q707" t="s">
        <v>2046</v>
      </c>
      <c r="R707" t="s">
        <v>2047</v>
      </c>
      <c r="S707" s="7">
        <f t="shared" ref="S707:S770" si="46">(((L707/60)/60)/24)+DATE(1970,1,1)</f>
        <v>41619.25</v>
      </c>
      <c r="T707" s="8">
        <f t="shared" ref="T707:T770" si="47">(((M707/60)/60)/24)+DATE(1970,1,1)</f>
        <v>41623.25</v>
      </c>
    </row>
    <row r="708" spans="1:20" ht="31" x14ac:dyDescent="0.3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si="44"/>
        <v>1.278468634686347</v>
      </c>
      <c r="G708" t="s">
        <v>20</v>
      </c>
      <c r="H708">
        <v>1345</v>
      </c>
      <c r="I708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">
        <v>2036</v>
      </c>
      <c r="R708" t="s">
        <v>2037</v>
      </c>
      <c r="S708" s="7">
        <f t="shared" si="46"/>
        <v>43471.25</v>
      </c>
      <c r="T708" s="8">
        <f t="shared" si="47"/>
        <v>43479.25</v>
      </c>
    </row>
    <row r="709" spans="1:20" ht="31" x14ac:dyDescent="0.3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44"/>
        <v>1.5861643835616439</v>
      </c>
      <c r="G709" t="s">
        <v>20</v>
      </c>
      <c r="H709">
        <v>168</v>
      </c>
      <c r="I709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">
        <v>2040</v>
      </c>
      <c r="R709" t="s">
        <v>2043</v>
      </c>
      <c r="S709" s="7">
        <f t="shared" si="46"/>
        <v>43442.25</v>
      </c>
      <c r="T709" s="8">
        <f t="shared" si="47"/>
        <v>43478.25</v>
      </c>
    </row>
    <row r="710" spans="1:20" x14ac:dyDescent="0.3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44"/>
        <v>7.0705882352941174</v>
      </c>
      <c r="G710" t="s">
        <v>20</v>
      </c>
      <c r="H710">
        <v>137</v>
      </c>
      <c r="I710">
        <f t="shared" si="4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">
        <v>2038</v>
      </c>
      <c r="R710" t="s">
        <v>2039</v>
      </c>
      <c r="S710" s="7">
        <f t="shared" si="46"/>
        <v>42877.208333333328</v>
      </c>
      <c r="T710" s="8">
        <f t="shared" si="47"/>
        <v>42887.208333333328</v>
      </c>
    </row>
    <row r="711" spans="1:20" x14ac:dyDescent="0.3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44"/>
        <v>1.4238775510204082</v>
      </c>
      <c r="G711" t="s">
        <v>20</v>
      </c>
      <c r="H711">
        <v>186</v>
      </c>
      <c r="I711">
        <f t="shared" si="4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">
        <v>2038</v>
      </c>
      <c r="R711" t="s">
        <v>2039</v>
      </c>
      <c r="S711" s="7">
        <f t="shared" si="46"/>
        <v>41018.208333333336</v>
      </c>
      <c r="T711" s="8">
        <f t="shared" si="47"/>
        <v>41025.208333333336</v>
      </c>
    </row>
    <row r="712" spans="1:20" ht="31" x14ac:dyDescent="0.3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44"/>
        <v>1.4786046511627906</v>
      </c>
      <c r="G712" t="s">
        <v>20</v>
      </c>
      <c r="H712">
        <v>125</v>
      </c>
      <c r="I712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">
        <v>2038</v>
      </c>
      <c r="R712" t="s">
        <v>2039</v>
      </c>
      <c r="S712" s="7">
        <f t="shared" si="46"/>
        <v>43295.208333333328</v>
      </c>
      <c r="T712" s="8">
        <f t="shared" si="47"/>
        <v>43302.208333333328</v>
      </c>
    </row>
    <row r="713" spans="1:20" ht="31" x14ac:dyDescent="0.3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44"/>
        <v>0.20322580645161289</v>
      </c>
      <c r="G713" t="s">
        <v>14</v>
      </c>
      <c r="H713">
        <v>14</v>
      </c>
      <c r="I713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">
        <v>2038</v>
      </c>
      <c r="R713" t="s">
        <v>2039</v>
      </c>
      <c r="S713" s="7">
        <f t="shared" si="46"/>
        <v>42393.25</v>
      </c>
      <c r="T713" s="8">
        <f t="shared" si="47"/>
        <v>42395.25</v>
      </c>
    </row>
    <row r="714" spans="1:20" ht="31" x14ac:dyDescent="0.3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44"/>
        <v>18.40625</v>
      </c>
      <c r="G714" t="s">
        <v>20</v>
      </c>
      <c r="H714">
        <v>202</v>
      </c>
      <c r="I714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">
        <v>2038</v>
      </c>
      <c r="R714" t="s">
        <v>2039</v>
      </c>
      <c r="S714" s="7">
        <f t="shared" si="46"/>
        <v>42559.208333333328</v>
      </c>
      <c r="T714" s="8">
        <f t="shared" si="47"/>
        <v>42600.208333333328</v>
      </c>
    </row>
    <row r="715" spans="1:20" x14ac:dyDescent="0.3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44"/>
        <v>1.6194202898550725</v>
      </c>
      <c r="G715" t="s">
        <v>20</v>
      </c>
      <c r="H715">
        <v>103</v>
      </c>
      <c r="I715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133</v>
      </c>
      <c r="Q715" t="s">
        <v>2046</v>
      </c>
      <c r="R715" t="s">
        <v>2055</v>
      </c>
      <c r="S715" s="7">
        <f t="shared" si="46"/>
        <v>42604.208333333328</v>
      </c>
      <c r="T715" s="8">
        <f t="shared" si="47"/>
        <v>42616.208333333328</v>
      </c>
    </row>
    <row r="716" spans="1:20" x14ac:dyDescent="0.3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44"/>
        <v>4.7282077922077921</v>
      </c>
      <c r="G716" t="s">
        <v>20</v>
      </c>
      <c r="H716">
        <v>1785</v>
      </c>
      <c r="I716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">
        <v>2034</v>
      </c>
      <c r="R716" t="s">
        <v>2035</v>
      </c>
      <c r="S716" s="7">
        <f t="shared" si="46"/>
        <v>41870.208333333336</v>
      </c>
      <c r="T716" s="8">
        <f t="shared" si="47"/>
        <v>41871.208333333336</v>
      </c>
    </row>
    <row r="717" spans="1:20" x14ac:dyDescent="0.3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44"/>
        <v>0.24466101694915254</v>
      </c>
      <c r="G717" t="s">
        <v>14</v>
      </c>
      <c r="H717">
        <v>656</v>
      </c>
      <c r="I717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292</v>
      </c>
      <c r="Q717" t="s">
        <v>2049</v>
      </c>
      <c r="R717" t="s">
        <v>2060</v>
      </c>
      <c r="S717" s="7">
        <f t="shared" si="46"/>
        <v>40397.208333333336</v>
      </c>
      <c r="T717" s="8">
        <f t="shared" si="47"/>
        <v>40402.208333333336</v>
      </c>
    </row>
    <row r="718" spans="1:20" x14ac:dyDescent="0.3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44"/>
        <v>5.1764999999999999</v>
      </c>
      <c r="G718" t="s">
        <v>20</v>
      </c>
      <c r="H718">
        <v>157</v>
      </c>
      <c r="I718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">
        <v>2038</v>
      </c>
      <c r="R718" t="s">
        <v>2039</v>
      </c>
      <c r="S718" s="7">
        <f t="shared" si="46"/>
        <v>41465.208333333336</v>
      </c>
      <c r="T718" s="8">
        <f t="shared" si="47"/>
        <v>41493.208333333336</v>
      </c>
    </row>
    <row r="719" spans="1:20" ht="31" x14ac:dyDescent="0.3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44"/>
        <v>2.4764285714285714</v>
      </c>
      <c r="G719" t="s">
        <v>20</v>
      </c>
      <c r="H719">
        <v>555</v>
      </c>
      <c r="I719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">
        <v>2040</v>
      </c>
      <c r="R719" t="s">
        <v>2041</v>
      </c>
      <c r="S719" s="7">
        <f t="shared" si="46"/>
        <v>40777.208333333336</v>
      </c>
      <c r="T719" s="8">
        <f t="shared" si="47"/>
        <v>40798.208333333336</v>
      </c>
    </row>
    <row r="720" spans="1:20" x14ac:dyDescent="0.3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44"/>
        <v>1.0020481927710843</v>
      </c>
      <c r="G720" t="s">
        <v>20</v>
      </c>
      <c r="H720">
        <v>297</v>
      </c>
      <c r="I720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65</v>
      </c>
      <c r="Q720" t="s">
        <v>2036</v>
      </c>
      <c r="R720" t="s">
        <v>2045</v>
      </c>
      <c r="S720" s="7">
        <f t="shared" si="46"/>
        <v>41442.208333333336</v>
      </c>
      <c r="T720" s="8">
        <f t="shared" si="47"/>
        <v>41468.208333333336</v>
      </c>
    </row>
    <row r="721" spans="1:20" x14ac:dyDescent="0.3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44"/>
        <v>1.53</v>
      </c>
      <c r="G721" t="s">
        <v>20</v>
      </c>
      <c r="H721">
        <v>123</v>
      </c>
      <c r="I721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119</v>
      </c>
      <c r="Q721" t="s">
        <v>2046</v>
      </c>
      <c r="R721" t="s">
        <v>2052</v>
      </c>
      <c r="S721" s="7">
        <f t="shared" si="46"/>
        <v>41058.208333333336</v>
      </c>
      <c r="T721" s="8">
        <f t="shared" si="47"/>
        <v>41069.208333333336</v>
      </c>
    </row>
    <row r="722" spans="1:20" ht="31" x14ac:dyDescent="0.3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44"/>
        <v>0.37091954022988505</v>
      </c>
      <c r="G722" t="s">
        <v>74</v>
      </c>
      <c r="H722">
        <v>38</v>
      </c>
      <c r="I722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">
        <v>2038</v>
      </c>
      <c r="R722" t="s">
        <v>2039</v>
      </c>
      <c r="S722" s="7">
        <f t="shared" si="46"/>
        <v>43152.25</v>
      </c>
      <c r="T722" s="8">
        <f t="shared" si="47"/>
        <v>43166.25</v>
      </c>
    </row>
    <row r="723" spans="1:20" x14ac:dyDescent="0.3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44"/>
        <v>4.3923948220064728E-2</v>
      </c>
      <c r="G723" t="s">
        <v>74</v>
      </c>
      <c r="H723">
        <v>60</v>
      </c>
      <c r="I723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">
        <v>2034</v>
      </c>
      <c r="R723" t="s">
        <v>2035</v>
      </c>
      <c r="S723" s="7">
        <f t="shared" si="46"/>
        <v>43194.208333333328</v>
      </c>
      <c r="T723" s="8">
        <f t="shared" si="47"/>
        <v>43200.208333333328</v>
      </c>
    </row>
    <row r="724" spans="1:20" x14ac:dyDescent="0.3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44"/>
        <v>1.5650721649484536</v>
      </c>
      <c r="G724" t="s">
        <v>20</v>
      </c>
      <c r="H724">
        <v>3036</v>
      </c>
      <c r="I724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">
        <v>2040</v>
      </c>
      <c r="R724" t="s">
        <v>2041</v>
      </c>
      <c r="S724" s="7">
        <f t="shared" si="46"/>
        <v>43045.25</v>
      </c>
      <c r="T724" s="8">
        <f t="shared" si="47"/>
        <v>43072.25</v>
      </c>
    </row>
    <row r="725" spans="1:20" x14ac:dyDescent="0.3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44"/>
        <v>2.704081632653061</v>
      </c>
      <c r="G725" t="s">
        <v>20</v>
      </c>
      <c r="H725">
        <v>144</v>
      </c>
      <c r="I725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">
        <v>2038</v>
      </c>
      <c r="R725" t="s">
        <v>2039</v>
      </c>
      <c r="S725" s="7">
        <f t="shared" si="46"/>
        <v>42431.25</v>
      </c>
      <c r="T725" s="8">
        <f t="shared" si="47"/>
        <v>42452.208333333328</v>
      </c>
    </row>
    <row r="726" spans="1:20" ht="31" x14ac:dyDescent="0.3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44"/>
        <v>1.3405952380952382</v>
      </c>
      <c r="G726" t="s">
        <v>20</v>
      </c>
      <c r="H726">
        <v>121</v>
      </c>
      <c r="I726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">
        <v>2038</v>
      </c>
      <c r="R726" t="s">
        <v>2039</v>
      </c>
      <c r="S726" s="7">
        <f t="shared" si="46"/>
        <v>41934.208333333336</v>
      </c>
      <c r="T726" s="8">
        <f t="shared" si="47"/>
        <v>41936.208333333336</v>
      </c>
    </row>
    <row r="727" spans="1:20" x14ac:dyDescent="0.3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44"/>
        <v>0.50398033126293995</v>
      </c>
      <c r="G727" t="s">
        <v>14</v>
      </c>
      <c r="H727">
        <v>1596</v>
      </c>
      <c r="I727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292</v>
      </c>
      <c r="Q727" t="s">
        <v>2049</v>
      </c>
      <c r="R727" t="s">
        <v>2060</v>
      </c>
      <c r="S727" s="7">
        <f t="shared" si="46"/>
        <v>41958.25</v>
      </c>
      <c r="T727" s="8">
        <f t="shared" si="47"/>
        <v>41960.25</v>
      </c>
    </row>
    <row r="728" spans="1:20" x14ac:dyDescent="0.3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44"/>
        <v>0.88815837937384901</v>
      </c>
      <c r="G728" t="s">
        <v>74</v>
      </c>
      <c r="H728">
        <v>524</v>
      </c>
      <c r="I728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">
        <v>2038</v>
      </c>
      <c r="R728" t="s">
        <v>2039</v>
      </c>
      <c r="S728" s="7">
        <f t="shared" si="46"/>
        <v>40476.208333333336</v>
      </c>
      <c r="T728" s="8">
        <f t="shared" si="47"/>
        <v>40482.208333333336</v>
      </c>
    </row>
    <row r="729" spans="1:20" x14ac:dyDescent="0.3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44"/>
        <v>1.65</v>
      </c>
      <c r="G729" t="s">
        <v>20</v>
      </c>
      <c r="H729">
        <v>181</v>
      </c>
      <c r="I729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">
        <v>2036</v>
      </c>
      <c r="R729" t="s">
        <v>2037</v>
      </c>
      <c r="S729" s="7">
        <f t="shared" si="46"/>
        <v>43485.25</v>
      </c>
      <c r="T729" s="8">
        <f t="shared" si="47"/>
        <v>43543.208333333328</v>
      </c>
    </row>
    <row r="730" spans="1:20" ht="31" x14ac:dyDescent="0.3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44"/>
        <v>0.17499999999999999</v>
      </c>
      <c r="G730" t="s">
        <v>14</v>
      </c>
      <c r="H730">
        <v>10</v>
      </c>
      <c r="I730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">
        <v>2038</v>
      </c>
      <c r="R730" t="s">
        <v>2039</v>
      </c>
      <c r="S730" s="7">
        <f t="shared" si="46"/>
        <v>42515.208333333328</v>
      </c>
      <c r="T730" s="8">
        <f t="shared" si="47"/>
        <v>42526.208333333328</v>
      </c>
    </row>
    <row r="731" spans="1:20" ht="31" x14ac:dyDescent="0.3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44"/>
        <v>1.8566071428571429</v>
      </c>
      <c r="G731" t="s">
        <v>20</v>
      </c>
      <c r="H731">
        <v>122</v>
      </c>
      <c r="I731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">
        <v>2040</v>
      </c>
      <c r="R731" t="s">
        <v>2043</v>
      </c>
      <c r="S731" s="7">
        <f t="shared" si="46"/>
        <v>41309.25</v>
      </c>
      <c r="T731" s="8">
        <f t="shared" si="47"/>
        <v>41311.25</v>
      </c>
    </row>
    <row r="732" spans="1:20" x14ac:dyDescent="0.3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44"/>
        <v>4.1266319444444441</v>
      </c>
      <c r="G732" t="s">
        <v>20</v>
      </c>
      <c r="H732">
        <v>1071</v>
      </c>
      <c r="I732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65</v>
      </c>
      <c r="Q732" t="s">
        <v>2036</v>
      </c>
      <c r="R732" t="s">
        <v>2045</v>
      </c>
      <c r="S732" s="7">
        <f t="shared" si="46"/>
        <v>42147.208333333328</v>
      </c>
      <c r="T732" s="8">
        <f t="shared" si="47"/>
        <v>42153.208333333328</v>
      </c>
    </row>
    <row r="733" spans="1:20" x14ac:dyDescent="0.3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44"/>
        <v>0.90249999999999997</v>
      </c>
      <c r="G733" t="s">
        <v>74</v>
      </c>
      <c r="H733">
        <v>219</v>
      </c>
      <c r="I733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">
        <v>2036</v>
      </c>
      <c r="R733" t="s">
        <v>2037</v>
      </c>
      <c r="S733" s="7">
        <f t="shared" si="46"/>
        <v>42939.208333333328</v>
      </c>
      <c r="T733" s="8">
        <f t="shared" si="47"/>
        <v>42940.208333333328</v>
      </c>
    </row>
    <row r="734" spans="1:20" x14ac:dyDescent="0.3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44"/>
        <v>0.91984615384615387</v>
      </c>
      <c r="G734" t="s">
        <v>14</v>
      </c>
      <c r="H734">
        <v>1121</v>
      </c>
      <c r="I734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">
        <v>2034</v>
      </c>
      <c r="R734" t="s">
        <v>2035</v>
      </c>
      <c r="S734" s="7">
        <f t="shared" si="46"/>
        <v>42816.208333333328</v>
      </c>
      <c r="T734" s="8">
        <f t="shared" si="47"/>
        <v>42839.208333333328</v>
      </c>
    </row>
    <row r="735" spans="1:20" x14ac:dyDescent="0.3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44"/>
        <v>5.2700632911392402</v>
      </c>
      <c r="G735" t="s">
        <v>20</v>
      </c>
      <c r="H735">
        <v>980</v>
      </c>
      <c r="I735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148</v>
      </c>
      <c r="Q735" t="s">
        <v>2034</v>
      </c>
      <c r="R735" t="s">
        <v>2056</v>
      </c>
      <c r="S735" s="7">
        <f t="shared" si="46"/>
        <v>41844.208333333336</v>
      </c>
      <c r="T735" s="8">
        <f t="shared" si="47"/>
        <v>41857.208333333336</v>
      </c>
    </row>
    <row r="736" spans="1:20" x14ac:dyDescent="0.3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44"/>
        <v>3.1914285714285713</v>
      </c>
      <c r="G736" t="s">
        <v>20</v>
      </c>
      <c r="H736">
        <v>536</v>
      </c>
      <c r="I736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">
        <v>2038</v>
      </c>
      <c r="R736" t="s">
        <v>2039</v>
      </c>
      <c r="S736" s="7">
        <f t="shared" si="46"/>
        <v>42763.25</v>
      </c>
      <c r="T736" s="8">
        <f t="shared" si="47"/>
        <v>42775.25</v>
      </c>
    </row>
    <row r="737" spans="1:20" ht="31" x14ac:dyDescent="0.3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44"/>
        <v>3.5418867924528303</v>
      </c>
      <c r="G737" t="s">
        <v>20</v>
      </c>
      <c r="H737">
        <v>1991</v>
      </c>
      <c r="I737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122</v>
      </c>
      <c r="Q737" t="s">
        <v>2053</v>
      </c>
      <c r="R737" t="s">
        <v>2054</v>
      </c>
      <c r="S737" s="7">
        <f t="shared" si="46"/>
        <v>42459.208333333328</v>
      </c>
      <c r="T737" s="8">
        <f t="shared" si="47"/>
        <v>42466.208333333328</v>
      </c>
    </row>
    <row r="738" spans="1:20" x14ac:dyDescent="0.3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44"/>
        <v>0.32896103896103895</v>
      </c>
      <c r="G738" t="s">
        <v>74</v>
      </c>
      <c r="H738">
        <v>29</v>
      </c>
      <c r="I738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68</v>
      </c>
      <c r="Q738" t="s">
        <v>2046</v>
      </c>
      <c r="R738" t="s">
        <v>2047</v>
      </c>
      <c r="S738" s="7">
        <f t="shared" si="46"/>
        <v>42055.25</v>
      </c>
      <c r="T738" s="8">
        <f t="shared" si="47"/>
        <v>42059.25</v>
      </c>
    </row>
    <row r="739" spans="1:20" ht="31" x14ac:dyDescent="0.3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44"/>
        <v>1.358918918918919</v>
      </c>
      <c r="G739" t="s">
        <v>20</v>
      </c>
      <c r="H739">
        <v>180</v>
      </c>
      <c r="I739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60</v>
      </c>
      <c r="Q739" t="s">
        <v>2034</v>
      </c>
      <c r="R739" t="s">
        <v>2044</v>
      </c>
      <c r="S739" s="7">
        <f t="shared" si="46"/>
        <v>42685.25</v>
      </c>
      <c r="T739" s="8">
        <f t="shared" si="47"/>
        <v>42697.25</v>
      </c>
    </row>
    <row r="740" spans="1:20" x14ac:dyDescent="0.3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44"/>
        <v>2.0843373493975904E-2</v>
      </c>
      <c r="G740" t="s">
        <v>14</v>
      </c>
      <c r="H740">
        <v>15</v>
      </c>
      <c r="I740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">
        <v>2038</v>
      </c>
      <c r="R740" t="s">
        <v>2039</v>
      </c>
      <c r="S740" s="7">
        <f t="shared" si="46"/>
        <v>41959.25</v>
      </c>
      <c r="T740" s="8">
        <f t="shared" si="47"/>
        <v>41981.25</v>
      </c>
    </row>
    <row r="741" spans="1:20" x14ac:dyDescent="0.3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44"/>
        <v>0.61</v>
      </c>
      <c r="G741" t="s">
        <v>14</v>
      </c>
      <c r="H741">
        <v>191</v>
      </c>
      <c r="I741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60</v>
      </c>
      <c r="Q741" t="s">
        <v>2034</v>
      </c>
      <c r="R741" t="s">
        <v>2044</v>
      </c>
      <c r="S741" s="7">
        <f t="shared" si="46"/>
        <v>41089.208333333336</v>
      </c>
      <c r="T741" s="8">
        <f t="shared" si="47"/>
        <v>41090.208333333336</v>
      </c>
    </row>
    <row r="742" spans="1:20" x14ac:dyDescent="0.3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44"/>
        <v>0.30037735849056602</v>
      </c>
      <c r="G742" t="s">
        <v>14</v>
      </c>
      <c r="H742">
        <v>16</v>
      </c>
      <c r="I742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">
        <v>2038</v>
      </c>
      <c r="R742" t="s">
        <v>2039</v>
      </c>
      <c r="S742" s="7">
        <f t="shared" si="46"/>
        <v>42769.25</v>
      </c>
      <c r="T742" s="8">
        <f t="shared" si="47"/>
        <v>42772.25</v>
      </c>
    </row>
    <row r="743" spans="1:20" x14ac:dyDescent="0.3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44"/>
        <v>11.791666666666666</v>
      </c>
      <c r="G743" t="s">
        <v>20</v>
      </c>
      <c r="H743">
        <v>130</v>
      </c>
      <c r="I743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">
        <v>2038</v>
      </c>
      <c r="R743" t="s">
        <v>2039</v>
      </c>
      <c r="S743" s="7">
        <f t="shared" si="46"/>
        <v>40321.208333333336</v>
      </c>
      <c r="T743" s="8">
        <f t="shared" si="47"/>
        <v>40322.208333333336</v>
      </c>
    </row>
    <row r="744" spans="1:20" x14ac:dyDescent="0.3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44"/>
        <v>11.260833333333334</v>
      </c>
      <c r="G744" t="s">
        <v>20</v>
      </c>
      <c r="H744">
        <v>122</v>
      </c>
      <c r="I744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">
        <v>2034</v>
      </c>
      <c r="R744" t="s">
        <v>2042</v>
      </c>
      <c r="S744" s="7">
        <f t="shared" si="46"/>
        <v>40197.25</v>
      </c>
      <c r="T744" s="8">
        <f t="shared" si="47"/>
        <v>40239.25</v>
      </c>
    </row>
    <row r="745" spans="1:20" ht="31" x14ac:dyDescent="0.3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44"/>
        <v>0.12923076923076923</v>
      </c>
      <c r="G745" t="s">
        <v>14</v>
      </c>
      <c r="H745">
        <v>17</v>
      </c>
      <c r="I745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">
        <v>2038</v>
      </c>
      <c r="R745" t="s">
        <v>2039</v>
      </c>
      <c r="S745" s="7">
        <f t="shared" si="46"/>
        <v>42298.208333333328</v>
      </c>
      <c r="T745" s="8">
        <f t="shared" si="47"/>
        <v>42304.208333333328</v>
      </c>
    </row>
    <row r="746" spans="1:20" x14ac:dyDescent="0.3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44"/>
        <v>7.12</v>
      </c>
      <c r="G746" t="s">
        <v>20</v>
      </c>
      <c r="H746">
        <v>140</v>
      </c>
      <c r="I746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">
        <v>2038</v>
      </c>
      <c r="R746" t="s">
        <v>2039</v>
      </c>
      <c r="S746" s="7">
        <f t="shared" si="46"/>
        <v>43322.208333333328</v>
      </c>
      <c r="T746" s="8">
        <f t="shared" si="47"/>
        <v>43324.208333333328</v>
      </c>
    </row>
    <row r="747" spans="1:20" ht="31" x14ac:dyDescent="0.3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44"/>
        <v>0.30304347826086958</v>
      </c>
      <c r="G747" t="s">
        <v>14</v>
      </c>
      <c r="H747">
        <v>34</v>
      </c>
      <c r="I747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65</v>
      </c>
      <c r="Q747" t="s">
        <v>2036</v>
      </c>
      <c r="R747" t="s">
        <v>2045</v>
      </c>
      <c r="S747" s="7">
        <f t="shared" si="46"/>
        <v>40328.208333333336</v>
      </c>
      <c r="T747" s="8">
        <f t="shared" si="47"/>
        <v>40355.208333333336</v>
      </c>
    </row>
    <row r="748" spans="1:20" x14ac:dyDescent="0.3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44"/>
        <v>2.1250896057347672</v>
      </c>
      <c r="G748" t="s">
        <v>20</v>
      </c>
      <c r="H748">
        <v>3388</v>
      </c>
      <c r="I748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">
        <v>2036</v>
      </c>
      <c r="R748" t="s">
        <v>2037</v>
      </c>
      <c r="S748" s="7">
        <f t="shared" si="46"/>
        <v>40825.208333333336</v>
      </c>
      <c r="T748" s="8">
        <f t="shared" si="47"/>
        <v>40830.208333333336</v>
      </c>
    </row>
    <row r="749" spans="1:20" x14ac:dyDescent="0.3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44"/>
        <v>2.2885714285714287</v>
      </c>
      <c r="G749" t="s">
        <v>20</v>
      </c>
      <c r="H749">
        <v>280</v>
      </c>
      <c r="I749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">
        <v>2038</v>
      </c>
      <c r="R749" t="s">
        <v>2039</v>
      </c>
      <c r="S749" s="7">
        <f t="shared" si="46"/>
        <v>40423.208333333336</v>
      </c>
      <c r="T749" s="8">
        <f t="shared" si="47"/>
        <v>40434.208333333336</v>
      </c>
    </row>
    <row r="750" spans="1:20" x14ac:dyDescent="0.3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44"/>
        <v>0.34959979476654696</v>
      </c>
      <c r="G750" t="s">
        <v>74</v>
      </c>
      <c r="H750">
        <v>614</v>
      </c>
      <c r="I750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71</v>
      </c>
      <c r="Q750" t="s">
        <v>2040</v>
      </c>
      <c r="R750" t="s">
        <v>2048</v>
      </c>
      <c r="S750" s="7">
        <f t="shared" si="46"/>
        <v>40238.25</v>
      </c>
      <c r="T750" s="8">
        <f t="shared" si="47"/>
        <v>40263.208333333336</v>
      </c>
    </row>
    <row r="751" spans="1:20" x14ac:dyDescent="0.3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44"/>
        <v>1.5729069767441861</v>
      </c>
      <c r="G751" t="s">
        <v>20</v>
      </c>
      <c r="H751">
        <v>366</v>
      </c>
      <c r="I751">
        <f t="shared" si="4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t="b">
        <v>0</v>
      </c>
      <c r="O751" t="b">
        <v>1</v>
      </c>
      <c r="P751" t="s">
        <v>65</v>
      </c>
      <c r="Q751" t="s">
        <v>2036</v>
      </c>
      <c r="R751" t="s">
        <v>2045</v>
      </c>
      <c r="S751" s="7">
        <f t="shared" si="46"/>
        <v>41920.208333333336</v>
      </c>
      <c r="T751" s="8">
        <f t="shared" si="47"/>
        <v>41932.208333333336</v>
      </c>
    </row>
    <row r="752" spans="1:20" x14ac:dyDescent="0.3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44"/>
        <v>0.01</v>
      </c>
      <c r="G752" t="s">
        <v>14</v>
      </c>
      <c r="H752">
        <v>1</v>
      </c>
      <c r="I752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">
        <v>2034</v>
      </c>
      <c r="R752" t="s">
        <v>2042</v>
      </c>
      <c r="S752" s="7">
        <f t="shared" si="46"/>
        <v>40360.208333333336</v>
      </c>
      <c r="T752" s="8">
        <f t="shared" si="47"/>
        <v>40385.208333333336</v>
      </c>
    </row>
    <row r="753" spans="1:20" x14ac:dyDescent="0.3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44"/>
        <v>2.3230555555555554</v>
      </c>
      <c r="G753" t="s">
        <v>20</v>
      </c>
      <c r="H753">
        <v>270</v>
      </c>
      <c r="I753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68</v>
      </c>
      <c r="Q753" t="s">
        <v>2046</v>
      </c>
      <c r="R753" t="s">
        <v>2047</v>
      </c>
      <c r="S753" s="7">
        <f t="shared" si="46"/>
        <v>42446.208333333328</v>
      </c>
      <c r="T753" s="8">
        <f t="shared" si="47"/>
        <v>42461.208333333328</v>
      </c>
    </row>
    <row r="754" spans="1:20" x14ac:dyDescent="0.3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44"/>
        <v>0.92448275862068963</v>
      </c>
      <c r="G754" t="s">
        <v>74</v>
      </c>
      <c r="H754">
        <v>114</v>
      </c>
      <c r="I754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">
        <v>2038</v>
      </c>
      <c r="R754" t="s">
        <v>2039</v>
      </c>
      <c r="S754" s="7">
        <f t="shared" si="46"/>
        <v>40395.208333333336</v>
      </c>
      <c r="T754" s="8">
        <f t="shared" si="47"/>
        <v>40413.208333333336</v>
      </c>
    </row>
    <row r="755" spans="1:20" x14ac:dyDescent="0.3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44"/>
        <v>2.5670212765957445</v>
      </c>
      <c r="G755" t="s">
        <v>20</v>
      </c>
      <c r="H755">
        <v>137</v>
      </c>
      <c r="I755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122</v>
      </c>
      <c r="Q755" t="s">
        <v>2053</v>
      </c>
      <c r="R755" t="s">
        <v>2054</v>
      </c>
      <c r="S755" s="7">
        <f t="shared" si="46"/>
        <v>40321.208333333336</v>
      </c>
      <c r="T755" s="8">
        <f t="shared" si="47"/>
        <v>40336.208333333336</v>
      </c>
    </row>
    <row r="756" spans="1:20" x14ac:dyDescent="0.3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44"/>
        <v>1.6847017045454546</v>
      </c>
      <c r="G756" t="s">
        <v>20</v>
      </c>
      <c r="H756">
        <v>3205</v>
      </c>
      <c r="I756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">
        <v>2038</v>
      </c>
      <c r="R756" t="s">
        <v>2039</v>
      </c>
      <c r="S756" s="7">
        <f t="shared" si="46"/>
        <v>41210.208333333336</v>
      </c>
      <c r="T756" s="8">
        <f t="shared" si="47"/>
        <v>41263.25</v>
      </c>
    </row>
    <row r="757" spans="1:20" x14ac:dyDescent="0.3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44"/>
        <v>1.6657777777777778</v>
      </c>
      <c r="G757" t="s">
        <v>20</v>
      </c>
      <c r="H757">
        <v>288</v>
      </c>
      <c r="I757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">
        <v>2038</v>
      </c>
      <c r="R757" t="s">
        <v>2039</v>
      </c>
      <c r="S757" s="7">
        <f t="shared" si="46"/>
        <v>43096.25</v>
      </c>
      <c r="T757" s="8">
        <f t="shared" si="47"/>
        <v>43108.25</v>
      </c>
    </row>
    <row r="758" spans="1:20" x14ac:dyDescent="0.3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44"/>
        <v>7.7207692307692311</v>
      </c>
      <c r="G758" t="s">
        <v>20</v>
      </c>
      <c r="H758">
        <v>148</v>
      </c>
      <c r="I758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">
        <v>2038</v>
      </c>
      <c r="R758" t="s">
        <v>2039</v>
      </c>
      <c r="S758" s="7">
        <f t="shared" si="46"/>
        <v>42024.25</v>
      </c>
      <c r="T758" s="8">
        <f t="shared" si="47"/>
        <v>42030.25</v>
      </c>
    </row>
    <row r="759" spans="1:20" x14ac:dyDescent="0.3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44"/>
        <v>4.0685714285714285</v>
      </c>
      <c r="G759" t="s">
        <v>20</v>
      </c>
      <c r="H759">
        <v>114</v>
      </c>
      <c r="I759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">
        <v>2040</v>
      </c>
      <c r="R759" t="s">
        <v>2043</v>
      </c>
      <c r="S759" s="7">
        <f t="shared" si="46"/>
        <v>40675.208333333336</v>
      </c>
      <c r="T759" s="8">
        <f t="shared" si="47"/>
        <v>40679.208333333336</v>
      </c>
    </row>
    <row r="760" spans="1:20" x14ac:dyDescent="0.3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44"/>
        <v>5.6420608108108112</v>
      </c>
      <c r="G760" t="s">
        <v>20</v>
      </c>
      <c r="H760">
        <v>1518</v>
      </c>
      <c r="I760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">
        <v>2034</v>
      </c>
      <c r="R760" t="s">
        <v>2035</v>
      </c>
      <c r="S760" s="7">
        <f t="shared" si="46"/>
        <v>41936.208333333336</v>
      </c>
      <c r="T760" s="8">
        <f t="shared" si="47"/>
        <v>41945.208333333336</v>
      </c>
    </row>
    <row r="761" spans="1:20" ht="31" x14ac:dyDescent="0.3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44"/>
        <v>0.6842686567164179</v>
      </c>
      <c r="G761" t="s">
        <v>14</v>
      </c>
      <c r="H761">
        <v>1274</v>
      </c>
      <c r="I761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">
        <v>2034</v>
      </c>
      <c r="R761" t="s">
        <v>2042</v>
      </c>
      <c r="S761" s="7">
        <f t="shared" si="46"/>
        <v>43136.25</v>
      </c>
      <c r="T761" s="8">
        <f t="shared" si="47"/>
        <v>43166.25</v>
      </c>
    </row>
    <row r="762" spans="1:20" x14ac:dyDescent="0.3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44"/>
        <v>0.34351966873706002</v>
      </c>
      <c r="G762" t="s">
        <v>14</v>
      </c>
      <c r="H762">
        <v>210</v>
      </c>
      <c r="I762">
        <f t="shared" si="4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t="b">
        <v>0</v>
      </c>
      <c r="O762" t="b">
        <v>1</v>
      </c>
      <c r="P762" t="s">
        <v>89</v>
      </c>
      <c r="Q762" t="s">
        <v>2049</v>
      </c>
      <c r="R762" t="s">
        <v>2050</v>
      </c>
      <c r="S762" s="7">
        <f t="shared" si="46"/>
        <v>43678.208333333328</v>
      </c>
      <c r="T762" s="8">
        <f t="shared" si="47"/>
        <v>43707.208333333328</v>
      </c>
    </row>
    <row r="763" spans="1:20" x14ac:dyDescent="0.3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44"/>
        <v>6.5545454545454547</v>
      </c>
      <c r="G763" t="s">
        <v>20</v>
      </c>
      <c r="H763">
        <v>166</v>
      </c>
      <c r="I763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">
        <v>2034</v>
      </c>
      <c r="R763" t="s">
        <v>2035</v>
      </c>
      <c r="S763" s="7">
        <f t="shared" si="46"/>
        <v>42938.208333333328</v>
      </c>
      <c r="T763" s="8">
        <f t="shared" si="47"/>
        <v>42943.208333333328</v>
      </c>
    </row>
    <row r="764" spans="1:20" x14ac:dyDescent="0.3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44"/>
        <v>1.7725714285714285</v>
      </c>
      <c r="G764" t="s">
        <v>20</v>
      </c>
      <c r="H764">
        <v>100</v>
      </c>
      <c r="I764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159</v>
      </c>
      <c r="Q764" t="s">
        <v>2034</v>
      </c>
      <c r="R764" t="s">
        <v>2057</v>
      </c>
      <c r="S764" s="7">
        <f t="shared" si="46"/>
        <v>41241.25</v>
      </c>
      <c r="T764" s="8">
        <f t="shared" si="47"/>
        <v>41252.25</v>
      </c>
    </row>
    <row r="765" spans="1:20" x14ac:dyDescent="0.3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44"/>
        <v>1.1317857142857144</v>
      </c>
      <c r="G765" t="s">
        <v>20</v>
      </c>
      <c r="H765">
        <v>235</v>
      </c>
      <c r="I765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">
        <v>2038</v>
      </c>
      <c r="R765" t="s">
        <v>2039</v>
      </c>
      <c r="S765" s="7">
        <f t="shared" si="46"/>
        <v>41037.208333333336</v>
      </c>
      <c r="T765" s="8">
        <f t="shared" si="47"/>
        <v>41072.208333333336</v>
      </c>
    </row>
    <row r="766" spans="1:20" ht="31" x14ac:dyDescent="0.3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44"/>
        <v>7.2818181818181822</v>
      </c>
      <c r="G766" t="s">
        <v>20</v>
      </c>
      <c r="H766">
        <v>148</v>
      </c>
      <c r="I766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">
        <v>2034</v>
      </c>
      <c r="R766" t="s">
        <v>2035</v>
      </c>
      <c r="S766" s="7">
        <f t="shared" si="46"/>
        <v>40676.208333333336</v>
      </c>
      <c r="T766" s="8">
        <f t="shared" si="47"/>
        <v>40684.208333333336</v>
      </c>
    </row>
    <row r="767" spans="1:20" x14ac:dyDescent="0.3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44"/>
        <v>2.0833333333333335</v>
      </c>
      <c r="G767" t="s">
        <v>20</v>
      </c>
      <c r="H767">
        <v>198</v>
      </c>
      <c r="I767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60</v>
      </c>
      <c r="Q767" t="s">
        <v>2034</v>
      </c>
      <c r="R767" t="s">
        <v>2044</v>
      </c>
      <c r="S767" s="7">
        <f t="shared" si="46"/>
        <v>42840.208333333328</v>
      </c>
      <c r="T767" s="8">
        <f t="shared" si="47"/>
        <v>42865.208333333328</v>
      </c>
    </row>
    <row r="768" spans="1:20" ht="31" x14ac:dyDescent="0.3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44"/>
        <v>0.31171232876712329</v>
      </c>
      <c r="G768" t="s">
        <v>14</v>
      </c>
      <c r="H768">
        <v>248</v>
      </c>
      <c r="I768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474</v>
      </c>
      <c r="Q768" t="s">
        <v>2040</v>
      </c>
      <c r="R768" t="s">
        <v>2062</v>
      </c>
      <c r="S768" s="7">
        <f t="shared" si="46"/>
        <v>43362.208333333328</v>
      </c>
      <c r="T768" s="8">
        <f t="shared" si="47"/>
        <v>43363.208333333328</v>
      </c>
    </row>
    <row r="769" spans="1:20" x14ac:dyDescent="0.3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44"/>
        <v>0.56967078189300413</v>
      </c>
      <c r="G769" t="s">
        <v>14</v>
      </c>
      <c r="H769">
        <v>513</v>
      </c>
      <c r="I769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206</v>
      </c>
      <c r="Q769" t="s">
        <v>2046</v>
      </c>
      <c r="R769" t="s">
        <v>2058</v>
      </c>
      <c r="S769" s="7">
        <f t="shared" si="46"/>
        <v>42283.208333333328</v>
      </c>
      <c r="T769" s="8">
        <f t="shared" si="47"/>
        <v>42328.25</v>
      </c>
    </row>
    <row r="770" spans="1:20" x14ac:dyDescent="0.3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44"/>
        <v>2.31</v>
      </c>
      <c r="G770" t="s">
        <v>20</v>
      </c>
      <c r="H770">
        <v>150</v>
      </c>
      <c r="I770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">
        <v>2038</v>
      </c>
      <c r="R770" t="s">
        <v>2039</v>
      </c>
      <c r="S770" s="7">
        <f t="shared" si="46"/>
        <v>41619.25</v>
      </c>
      <c r="T770" s="8">
        <f t="shared" si="47"/>
        <v>41634.25</v>
      </c>
    </row>
    <row r="771" spans="1:20" x14ac:dyDescent="0.3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ref="F771:F834" si="48">E771/D771</f>
        <v>0.86867834394904464</v>
      </c>
      <c r="G771" t="s">
        <v>14</v>
      </c>
      <c r="H771">
        <v>3410</v>
      </c>
      <c r="I771">
        <f t="shared" ref="I771:I834" si="49">IFERROR(E771/H771, "0")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89</v>
      </c>
      <c r="Q771" t="s">
        <v>2049</v>
      </c>
      <c r="R771" t="s">
        <v>2050</v>
      </c>
      <c r="S771" s="7">
        <f t="shared" ref="S771:S834" si="50">(((L771/60)/60)/24)+DATE(1970,1,1)</f>
        <v>41501.208333333336</v>
      </c>
      <c r="T771" s="8">
        <f t="shared" ref="T771:T834" si="51">(((M771/60)/60)/24)+DATE(1970,1,1)</f>
        <v>41527.208333333336</v>
      </c>
    </row>
    <row r="772" spans="1:20" x14ac:dyDescent="0.3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si="48"/>
        <v>2.7074418604651163</v>
      </c>
      <c r="G772" t="s">
        <v>20</v>
      </c>
      <c r="H772">
        <v>216</v>
      </c>
      <c r="I772">
        <f t="shared" si="49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">
        <v>2038</v>
      </c>
      <c r="R772" t="s">
        <v>2039</v>
      </c>
      <c r="S772" s="7">
        <f t="shared" si="50"/>
        <v>41743.208333333336</v>
      </c>
      <c r="T772" s="8">
        <f t="shared" si="51"/>
        <v>41750.208333333336</v>
      </c>
    </row>
    <row r="773" spans="1:20" x14ac:dyDescent="0.3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48"/>
        <v>0.49446428571428569</v>
      </c>
      <c r="G773" t="s">
        <v>74</v>
      </c>
      <c r="H773">
        <v>26</v>
      </c>
      <c r="I773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">
        <v>2038</v>
      </c>
      <c r="R773" t="s">
        <v>2039</v>
      </c>
      <c r="S773" s="7">
        <f t="shared" si="50"/>
        <v>43491.25</v>
      </c>
      <c r="T773" s="8">
        <f t="shared" si="51"/>
        <v>43518.25</v>
      </c>
    </row>
    <row r="774" spans="1:20" x14ac:dyDescent="0.3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48"/>
        <v>1.1335962566844919</v>
      </c>
      <c r="G774" t="s">
        <v>20</v>
      </c>
      <c r="H774">
        <v>5139</v>
      </c>
      <c r="I774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60</v>
      </c>
      <c r="Q774" t="s">
        <v>2034</v>
      </c>
      <c r="R774" t="s">
        <v>2044</v>
      </c>
      <c r="S774" s="7">
        <f t="shared" si="50"/>
        <v>43505.25</v>
      </c>
      <c r="T774" s="8">
        <f t="shared" si="51"/>
        <v>43509.25</v>
      </c>
    </row>
    <row r="775" spans="1:20" x14ac:dyDescent="0.3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48"/>
        <v>1.9055555555555554</v>
      </c>
      <c r="G775" t="s">
        <v>20</v>
      </c>
      <c r="H775">
        <v>2353</v>
      </c>
      <c r="I775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">
        <v>2038</v>
      </c>
      <c r="R775" t="s">
        <v>2039</v>
      </c>
      <c r="S775" s="7">
        <f t="shared" si="50"/>
        <v>42838.208333333328</v>
      </c>
      <c r="T775" s="8">
        <f t="shared" si="51"/>
        <v>42848.208333333328</v>
      </c>
    </row>
    <row r="776" spans="1:20" x14ac:dyDescent="0.3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48"/>
        <v>1.355</v>
      </c>
      <c r="G776" t="s">
        <v>20</v>
      </c>
      <c r="H776">
        <v>78</v>
      </c>
      <c r="I776">
        <f t="shared" si="49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">
        <v>2036</v>
      </c>
      <c r="R776" t="s">
        <v>2037</v>
      </c>
      <c r="S776" s="7">
        <f t="shared" si="50"/>
        <v>42513.208333333328</v>
      </c>
      <c r="T776" s="8">
        <f t="shared" si="51"/>
        <v>42554.208333333328</v>
      </c>
    </row>
    <row r="777" spans="1:20" ht="31" x14ac:dyDescent="0.3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48"/>
        <v>0.10297872340425532</v>
      </c>
      <c r="G777" t="s">
        <v>14</v>
      </c>
      <c r="H777">
        <v>10</v>
      </c>
      <c r="I777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">
        <v>2034</v>
      </c>
      <c r="R777" t="s">
        <v>2035</v>
      </c>
      <c r="S777" s="7">
        <f t="shared" si="50"/>
        <v>41949.25</v>
      </c>
      <c r="T777" s="8">
        <f t="shared" si="51"/>
        <v>41959.25</v>
      </c>
    </row>
    <row r="778" spans="1:20" x14ac:dyDescent="0.3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48"/>
        <v>0.65544223826714798</v>
      </c>
      <c r="G778" t="s">
        <v>14</v>
      </c>
      <c r="H778">
        <v>2201</v>
      </c>
      <c r="I778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">
        <v>2038</v>
      </c>
      <c r="R778" t="s">
        <v>2039</v>
      </c>
      <c r="S778" s="7">
        <f t="shared" si="50"/>
        <v>43650.208333333328</v>
      </c>
      <c r="T778" s="8">
        <f t="shared" si="51"/>
        <v>43668.208333333328</v>
      </c>
    </row>
    <row r="779" spans="1:20" x14ac:dyDescent="0.3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48"/>
        <v>0.49026652452025588</v>
      </c>
      <c r="G779" t="s">
        <v>14</v>
      </c>
      <c r="H779">
        <v>676</v>
      </c>
      <c r="I779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">
        <v>2038</v>
      </c>
      <c r="R779" t="s">
        <v>2039</v>
      </c>
      <c r="S779" s="7">
        <f t="shared" si="50"/>
        <v>40809.208333333336</v>
      </c>
      <c r="T779" s="8">
        <f t="shared" si="51"/>
        <v>40838.208333333336</v>
      </c>
    </row>
    <row r="780" spans="1:20" x14ac:dyDescent="0.3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48"/>
        <v>7.8792307692307695</v>
      </c>
      <c r="G780" t="s">
        <v>20</v>
      </c>
      <c r="H780">
        <v>174</v>
      </c>
      <c r="I780">
        <f t="shared" si="49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t="b">
        <v>0</v>
      </c>
      <c r="O780" t="b">
        <v>0</v>
      </c>
      <c r="P780" t="s">
        <v>71</v>
      </c>
      <c r="Q780" t="s">
        <v>2040</v>
      </c>
      <c r="R780" t="s">
        <v>2048</v>
      </c>
      <c r="S780" s="7">
        <f t="shared" si="50"/>
        <v>40768.208333333336</v>
      </c>
      <c r="T780" s="8">
        <f t="shared" si="51"/>
        <v>40773.208333333336</v>
      </c>
    </row>
    <row r="781" spans="1:20" x14ac:dyDescent="0.3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48"/>
        <v>0.80306347746090156</v>
      </c>
      <c r="G781" t="s">
        <v>14</v>
      </c>
      <c r="H781">
        <v>831</v>
      </c>
      <c r="I781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">
        <v>2038</v>
      </c>
      <c r="R781" t="s">
        <v>2039</v>
      </c>
      <c r="S781" s="7">
        <f t="shared" si="50"/>
        <v>42230.208333333328</v>
      </c>
      <c r="T781" s="8">
        <f t="shared" si="51"/>
        <v>42239.208333333328</v>
      </c>
    </row>
    <row r="782" spans="1:20" x14ac:dyDescent="0.3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48"/>
        <v>1.0629411764705883</v>
      </c>
      <c r="G782" t="s">
        <v>20</v>
      </c>
      <c r="H782">
        <v>164</v>
      </c>
      <c r="I782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">
        <v>2040</v>
      </c>
      <c r="R782" t="s">
        <v>2043</v>
      </c>
      <c r="S782" s="7">
        <f t="shared" si="50"/>
        <v>42573.208333333328</v>
      </c>
      <c r="T782" s="8">
        <f t="shared" si="51"/>
        <v>42592.208333333328</v>
      </c>
    </row>
    <row r="783" spans="1:20" x14ac:dyDescent="0.3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48"/>
        <v>0.50735632183908042</v>
      </c>
      <c r="G783" t="s">
        <v>74</v>
      </c>
      <c r="H783">
        <v>56</v>
      </c>
      <c r="I783">
        <f t="shared" si="49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">
        <v>2038</v>
      </c>
      <c r="R783" t="s">
        <v>2039</v>
      </c>
      <c r="S783" s="7">
        <f t="shared" si="50"/>
        <v>40482.208333333336</v>
      </c>
      <c r="T783" s="8">
        <f t="shared" si="51"/>
        <v>40533.25</v>
      </c>
    </row>
    <row r="784" spans="1:20" x14ac:dyDescent="0.3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48"/>
        <v>2.153137254901961</v>
      </c>
      <c r="G784" t="s">
        <v>20</v>
      </c>
      <c r="H784">
        <v>161</v>
      </c>
      <c r="I784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71</v>
      </c>
      <c r="Q784" t="s">
        <v>2040</v>
      </c>
      <c r="R784" t="s">
        <v>2048</v>
      </c>
      <c r="S784" s="7">
        <f t="shared" si="50"/>
        <v>40603.25</v>
      </c>
      <c r="T784" s="8">
        <f t="shared" si="51"/>
        <v>40631.208333333336</v>
      </c>
    </row>
    <row r="785" spans="1:20" x14ac:dyDescent="0.3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48"/>
        <v>1.4122972972972974</v>
      </c>
      <c r="G785" t="s">
        <v>20</v>
      </c>
      <c r="H785">
        <v>138</v>
      </c>
      <c r="I785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">
        <v>2034</v>
      </c>
      <c r="R785" t="s">
        <v>2035</v>
      </c>
      <c r="S785" s="7">
        <f t="shared" si="50"/>
        <v>41625.25</v>
      </c>
      <c r="T785" s="8">
        <f t="shared" si="51"/>
        <v>41632.25</v>
      </c>
    </row>
    <row r="786" spans="1:20" x14ac:dyDescent="0.3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48"/>
        <v>1.1533745781777278</v>
      </c>
      <c r="G786" t="s">
        <v>20</v>
      </c>
      <c r="H786">
        <v>3308</v>
      </c>
      <c r="I786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">
        <v>2036</v>
      </c>
      <c r="R786" t="s">
        <v>2037</v>
      </c>
      <c r="S786" s="7">
        <f t="shared" si="50"/>
        <v>42435.25</v>
      </c>
      <c r="T786" s="8">
        <f t="shared" si="51"/>
        <v>42446.208333333328</v>
      </c>
    </row>
    <row r="787" spans="1:20" ht="31" x14ac:dyDescent="0.3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48"/>
        <v>1.9311940298507462</v>
      </c>
      <c r="G787" t="s">
        <v>20</v>
      </c>
      <c r="H787">
        <v>127</v>
      </c>
      <c r="I787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71</v>
      </c>
      <c r="Q787" t="s">
        <v>2040</v>
      </c>
      <c r="R787" t="s">
        <v>2048</v>
      </c>
      <c r="S787" s="7">
        <f t="shared" si="50"/>
        <v>43582.208333333328</v>
      </c>
      <c r="T787" s="8">
        <f t="shared" si="51"/>
        <v>43616.208333333328</v>
      </c>
    </row>
    <row r="788" spans="1:20" x14ac:dyDescent="0.3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48"/>
        <v>7.2973333333333334</v>
      </c>
      <c r="G788" t="s">
        <v>20</v>
      </c>
      <c r="H788">
        <v>207</v>
      </c>
      <c r="I788">
        <f t="shared" si="49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t="b">
        <v>0</v>
      </c>
      <c r="O788" t="b">
        <v>1</v>
      </c>
      <c r="P788" t="s">
        <v>159</v>
      </c>
      <c r="Q788" t="s">
        <v>2034</v>
      </c>
      <c r="R788" t="s">
        <v>2057</v>
      </c>
      <c r="S788" s="7">
        <f t="shared" si="50"/>
        <v>43186.208333333328</v>
      </c>
      <c r="T788" s="8">
        <f t="shared" si="51"/>
        <v>43193.208333333328</v>
      </c>
    </row>
    <row r="789" spans="1:20" x14ac:dyDescent="0.3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48"/>
        <v>0.99663398692810456</v>
      </c>
      <c r="G789" t="s">
        <v>14</v>
      </c>
      <c r="H789">
        <v>859</v>
      </c>
      <c r="I789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">
        <v>2034</v>
      </c>
      <c r="R789" t="s">
        <v>2035</v>
      </c>
      <c r="S789" s="7">
        <f t="shared" si="50"/>
        <v>40684.208333333336</v>
      </c>
      <c r="T789" s="8">
        <f t="shared" si="51"/>
        <v>40693.208333333336</v>
      </c>
    </row>
    <row r="790" spans="1:20" x14ac:dyDescent="0.3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48"/>
        <v>0.88166666666666671</v>
      </c>
      <c r="G790" t="s">
        <v>47</v>
      </c>
      <c r="H790">
        <v>31</v>
      </c>
      <c r="I790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71</v>
      </c>
      <c r="Q790" t="s">
        <v>2040</v>
      </c>
      <c r="R790" t="s">
        <v>2048</v>
      </c>
      <c r="S790" s="7">
        <f t="shared" si="50"/>
        <v>41202.208333333336</v>
      </c>
      <c r="T790" s="8">
        <f t="shared" si="51"/>
        <v>41223.25</v>
      </c>
    </row>
    <row r="791" spans="1:20" x14ac:dyDescent="0.3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48"/>
        <v>0.37233333333333335</v>
      </c>
      <c r="G791" t="s">
        <v>14</v>
      </c>
      <c r="H791">
        <v>45</v>
      </c>
      <c r="I791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">
        <v>2038</v>
      </c>
      <c r="R791" t="s">
        <v>2039</v>
      </c>
      <c r="S791" s="7">
        <f t="shared" si="50"/>
        <v>41786.208333333336</v>
      </c>
      <c r="T791" s="8">
        <f t="shared" si="51"/>
        <v>41823.208333333336</v>
      </c>
    </row>
    <row r="792" spans="1:20" x14ac:dyDescent="0.3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48"/>
        <v>0.30540075309306081</v>
      </c>
      <c r="G792" t="s">
        <v>74</v>
      </c>
      <c r="H792">
        <v>1113</v>
      </c>
      <c r="I792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">
        <v>2038</v>
      </c>
      <c r="R792" t="s">
        <v>2039</v>
      </c>
      <c r="S792" s="7">
        <f t="shared" si="50"/>
        <v>40223.25</v>
      </c>
      <c r="T792" s="8">
        <f t="shared" si="51"/>
        <v>40229.25</v>
      </c>
    </row>
    <row r="793" spans="1:20" x14ac:dyDescent="0.3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48"/>
        <v>0.25714285714285712</v>
      </c>
      <c r="G793" t="s">
        <v>14</v>
      </c>
      <c r="H793">
        <v>6</v>
      </c>
      <c r="I793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">
        <v>2032</v>
      </c>
      <c r="R793" t="s">
        <v>2033</v>
      </c>
      <c r="S793" s="7">
        <f t="shared" si="50"/>
        <v>42715.25</v>
      </c>
      <c r="T793" s="8">
        <f t="shared" si="51"/>
        <v>42731.25</v>
      </c>
    </row>
    <row r="794" spans="1:20" x14ac:dyDescent="0.3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48"/>
        <v>0.34</v>
      </c>
      <c r="G794" t="s">
        <v>14</v>
      </c>
      <c r="H794">
        <v>7</v>
      </c>
      <c r="I794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">
        <v>2038</v>
      </c>
      <c r="R794" t="s">
        <v>2039</v>
      </c>
      <c r="S794" s="7">
        <f t="shared" si="50"/>
        <v>41451.208333333336</v>
      </c>
      <c r="T794" s="8">
        <f t="shared" si="51"/>
        <v>41479.208333333336</v>
      </c>
    </row>
    <row r="795" spans="1:20" x14ac:dyDescent="0.3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48"/>
        <v>11.859090909090909</v>
      </c>
      <c r="G795" t="s">
        <v>20</v>
      </c>
      <c r="H795">
        <v>181</v>
      </c>
      <c r="I795">
        <f t="shared" si="49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t="b">
        <v>0</v>
      </c>
      <c r="O795" t="b">
        <v>0</v>
      </c>
      <c r="P795" t="s">
        <v>68</v>
      </c>
      <c r="Q795" t="s">
        <v>2046</v>
      </c>
      <c r="R795" t="s">
        <v>2047</v>
      </c>
      <c r="S795" s="7">
        <f t="shared" si="50"/>
        <v>41450.208333333336</v>
      </c>
      <c r="T795" s="8">
        <f t="shared" si="51"/>
        <v>41454.208333333336</v>
      </c>
    </row>
    <row r="796" spans="1:20" x14ac:dyDescent="0.3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48"/>
        <v>1.2539393939393939</v>
      </c>
      <c r="G796" t="s">
        <v>20</v>
      </c>
      <c r="H796">
        <v>110</v>
      </c>
      <c r="I796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">
        <v>2034</v>
      </c>
      <c r="R796" t="s">
        <v>2035</v>
      </c>
      <c r="S796" s="7">
        <f t="shared" si="50"/>
        <v>43091.25</v>
      </c>
      <c r="T796" s="8">
        <f t="shared" si="51"/>
        <v>43103.25</v>
      </c>
    </row>
    <row r="797" spans="1:20" ht="31" x14ac:dyDescent="0.3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48"/>
        <v>0.14394366197183098</v>
      </c>
      <c r="G797" t="s">
        <v>14</v>
      </c>
      <c r="H797">
        <v>31</v>
      </c>
      <c r="I797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">
        <v>2040</v>
      </c>
      <c r="R797" t="s">
        <v>2043</v>
      </c>
      <c r="S797" s="7">
        <f t="shared" si="50"/>
        <v>42675.208333333328</v>
      </c>
      <c r="T797" s="8">
        <f t="shared" si="51"/>
        <v>42678.208333333328</v>
      </c>
    </row>
    <row r="798" spans="1:20" x14ac:dyDescent="0.3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48"/>
        <v>0.54807692307692313</v>
      </c>
      <c r="G798" t="s">
        <v>14</v>
      </c>
      <c r="H798">
        <v>78</v>
      </c>
      <c r="I798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292</v>
      </c>
      <c r="Q798" t="s">
        <v>2049</v>
      </c>
      <c r="R798" t="s">
        <v>2060</v>
      </c>
      <c r="S798" s="7">
        <f t="shared" si="50"/>
        <v>41859.208333333336</v>
      </c>
      <c r="T798" s="8">
        <f t="shared" si="51"/>
        <v>41866.208333333336</v>
      </c>
    </row>
    <row r="799" spans="1:20" x14ac:dyDescent="0.3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48"/>
        <v>1.0963157894736841</v>
      </c>
      <c r="G799" t="s">
        <v>20</v>
      </c>
      <c r="H799">
        <v>185</v>
      </c>
      <c r="I799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">
        <v>2036</v>
      </c>
      <c r="R799" t="s">
        <v>2037</v>
      </c>
      <c r="S799" s="7">
        <f t="shared" si="50"/>
        <v>43464.25</v>
      </c>
      <c r="T799" s="8">
        <f t="shared" si="51"/>
        <v>43487.25</v>
      </c>
    </row>
    <row r="800" spans="1:20" x14ac:dyDescent="0.3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48"/>
        <v>1.8847058823529412</v>
      </c>
      <c r="G800" t="s">
        <v>20</v>
      </c>
      <c r="H800">
        <v>121</v>
      </c>
      <c r="I800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">
        <v>2038</v>
      </c>
      <c r="R800" t="s">
        <v>2039</v>
      </c>
      <c r="S800" s="7">
        <f t="shared" si="50"/>
        <v>41060.208333333336</v>
      </c>
      <c r="T800" s="8">
        <f t="shared" si="51"/>
        <v>41088.208333333336</v>
      </c>
    </row>
    <row r="801" spans="1:20" x14ac:dyDescent="0.3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48"/>
        <v>0.87008284023668636</v>
      </c>
      <c r="G801" t="s">
        <v>14</v>
      </c>
      <c r="H801">
        <v>1225</v>
      </c>
      <c r="I801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">
        <v>2038</v>
      </c>
      <c r="R801" t="s">
        <v>2039</v>
      </c>
      <c r="S801" s="7">
        <f t="shared" si="50"/>
        <v>42399.25</v>
      </c>
      <c r="T801" s="8">
        <f t="shared" si="51"/>
        <v>42403.25</v>
      </c>
    </row>
    <row r="802" spans="1:20" x14ac:dyDescent="0.3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48"/>
        <v>0.01</v>
      </c>
      <c r="G802" t="s">
        <v>14</v>
      </c>
      <c r="H802">
        <v>1</v>
      </c>
      <c r="I802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">
        <v>2034</v>
      </c>
      <c r="R802" t="s">
        <v>2035</v>
      </c>
      <c r="S802" s="7">
        <f t="shared" si="50"/>
        <v>42167.208333333328</v>
      </c>
      <c r="T802" s="8">
        <f t="shared" si="51"/>
        <v>42171.208333333328</v>
      </c>
    </row>
    <row r="803" spans="1:20" x14ac:dyDescent="0.3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48"/>
        <v>2.0291304347826089</v>
      </c>
      <c r="G803" t="s">
        <v>20</v>
      </c>
      <c r="H803">
        <v>106</v>
      </c>
      <c r="I803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122</v>
      </c>
      <c r="Q803" t="s">
        <v>2053</v>
      </c>
      <c r="R803" t="s">
        <v>2054</v>
      </c>
      <c r="S803" s="7">
        <f t="shared" si="50"/>
        <v>43830.25</v>
      </c>
      <c r="T803" s="8">
        <f t="shared" si="51"/>
        <v>43852.25</v>
      </c>
    </row>
    <row r="804" spans="1:20" ht="31" x14ac:dyDescent="0.3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48"/>
        <v>1.9703225806451612</v>
      </c>
      <c r="G804" t="s">
        <v>20</v>
      </c>
      <c r="H804">
        <v>142</v>
      </c>
      <c r="I804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122</v>
      </c>
      <c r="Q804" t="s">
        <v>2053</v>
      </c>
      <c r="R804" t="s">
        <v>2054</v>
      </c>
      <c r="S804" s="7">
        <f t="shared" si="50"/>
        <v>43650.208333333328</v>
      </c>
      <c r="T804" s="8">
        <f t="shared" si="51"/>
        <v>43652.208333333328</v>
      </c>
    </row>
    <row r="805" spans="1:20" ht="31" x14ac:dyDescent="0.3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48"/>
        <v>1.07</v>
      </c>
      <c r="G805" t="s">
        <v>20</v>
      </c>
      <c r="H805">
        <v>233</v>
      </c>
      <c r="I805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">
        <v>2038</v>
      </c>
      <c r="R805" t="s">
        <v>2039</v>
      </c>
      <c r="S805" s="7">
        <f t="shared" si="50"/>
        <v>43492.25</v>
      </c>
      <c r="T805" s="8">
        <f t="shared" si="51"/>
        <v>43526.25</v>
      </c>
    </row>
    <row r="806" spans="1:20" x14ac:dyDescent="0.3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48"/>
        <v>2.6873076923076922</v>
      </c>
      <c r="G806" t="s">
        <v>20</v>
      </c>
      <c r="H806">
        <v>218</v>
      </c>
      <c r="I806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">
        <v>2034</v>
      </c>
      <c r="R806" t="s">
        <v>2035</v>
      </c>
      <c r="S806" s="7">
        <f t="shared" si="50"/>
        <v>43102.25</v>
      </c>
      <c r="T806" s="8">
        <f t="shared" si="51"/>
        <v>43122.25</v>
      </c>
    </row>
    <row r="807" spans="1:20" ht="31" x14ac:dyDescent="0.3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48"/>
        <v>0.50845360824742269</v>
      </c>
      <c r="G807" t="s">
        <v>14</v>
      </c>
      <c r="H807">
        <v>67</v>
      </c>
      <c r="I807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">
        <v>2040</v>
      </c>
      <c r="R807" t="s">
        <v>2041</v>
      </c>
      <c r="S807" s="7">
        <f t="shared" si="50"/>
        <v>41958.25</v>
      </c>
      <c r="T807" s="8">
        <f t="shared" si="51"/>
        <v>42009.25</v>
      </c>
    </row>
    <row r="808" spans="1:20" x14ac:dyDescent="0.3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48"/>
        <v>11.802857142857142</v>
      </c>
      <c r="G808" t="s">
        <v>20</v>
      </c>
      <c r="H808">
        <v>76</v>
      </c>
      <c r="I808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">
        <v>2040</v>
      </c>
      <c r="R808" t="s">
        <v>2043</v>
      </c>
      <c r="S808" s="7">
        <f t="shared" si="50"/>
        <v>40973.25</v>
      </c>
      <c r="T808" s="8">
        <f t="shared" si="51"/>
        <v>40997.208333333336</v>
      </c>
    </row>
    <row r="809" spans="1:20" x14ac:dyDescent="0.3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48"/>
        <v>2.64</v>
      </c>
      <c r="G809" t="s">
        <v>20</v>
      </c>
      <c r="H809">
        <v>43</v>
      </c>
      <c r="I809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">
        <v>2038</v>
      </c>
      <c r="R809" t="s">
        <v>2039</v>
      </c>
      <c r="S809" s="7">
        <f t="shared" si="50"/>
        <v>43753.208333333328</v>
      </c>
      <c r="T809" s="8">
        <f t="shared" si="51"/>
        <v>43797.25</v>
      </c>
    </row>
    <row r="810" spans="1:20" x14ac:dyDescent="0.3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48"/>
        <v>0.30442307692307691</v>
      </c>
      <c r="G810" t="s">
        <v>14</v>
      </c>
      <c r="H810">
        <v>19</v>
      </c>
      <c r="I810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">
        <v>2032</v>
      </c>
      <c r="R810" t="s">
        <v>2033</v>
      </c>
      <c r="S810" s="7">
        <f t="shared" si="50"/>
        <v>42507.208333333328</v>
      </c>
      <c r="T810" s="8">
        <f t="shared" si="51"/>
        <v>42524.208333333328</v>
      </c>
    </row>
    <row r="811" spans="1:20" x14ac:dyDescent="0.3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48"/>
        <v>0.62880681818181816</v>
      </c>
      <c r="G811" t="s">
        <v>14</v>
      </c>
      <c r="H811">
        <v>2108</v>
      </c>
      <c r="I811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">
        <v>2040</v>
      </c>
      <c r="R811" t="s">
        <v>2041</v>
      </c>
      <c r="S811" s="7">
        <f t="shared" si="50"/>
        <v>41135.208333333336</v>
      </c>
      <c r="T811" s="8">
        <f t="shared" si="51"/>
        <v>41136.208333333336</v>
      </c>
    </row>
    <row r="812" spans="1:20" x14ac:dyDescent="0.3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48"/>
        <v>1.9312499999999999</v>
      </c>
      <c r="G812" t="s">
        <v>20</v>
      </c>
      <c r="H812">
        <v>221</v>
      </c>
      <c r="I812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">
        <v>2038</v>
      </c>
      <c r="R812" t="s">
        <v>2039</v>
      </c>
      <c r="S812" s="7">
        <f t="shared" si="50"/>
        <v>43067.25</v>
      </c>
      <c r="T812" s="8">
        <f t="shared" si="51"/>
        <v>43077.25</v>
      </c>
    </row>
    <row r="813" spans="1:20" x14ac:dyDescent="0.3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48"/>
        <v>0.77102702702702708</v>
      </c>
      <c r="G813" t="s">
        <v>14</v>
      </c>
      <c r="H813">
        <v>679</v>
      </c>
      <c r="I813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89</v>
      </c>
      <c r="Q813" t="s">
        <v>2049</v>
      </c>
      <c r="R813" t="s">
        <v>2050</v>
      </c>
      <c r="S813" s="7">
        <f t="shared" si="50"/>
        <v>42378.25</v>
      </c>
      <c r="T813" s="8">
        <f t="shared" si="51"/>
        <v>42380.25</v>
      </c>
    </row>
    <row r="814" spans="1:20" x14ac:dyDescent="0.3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48"/>
        <v>2.2552763819095478</v>
      </c>
      <c r="G814" t="s">
        <v>20</v>
      </c>
      <c r="H814">
        <v>2805</v>
      </c>
      <c r="I814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68</v>
      </c>
      <c r="Q814" t="s">
        <v>2046</v>
      </c>
      <c r="R814" t="s">
        <v>2047</v>
      </c>
      <c r="S814" s="7">
        <f t="shared" si="50"/>
        <v>43206.208333333328</v>
      </c>
      <c r="T814" s="8">
        <f t="shared" si="51"/>
        <v>43211.208333333328</v>
      </c>
    </row>
    <row r="815" spans="1:20" x14ac:dyDescent="0.3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48"/>
        <v>2.3940625</v>
      </c>
      <c r="G815" t="s">
        <v>20</v>
      </c>
      <c r="H815">
        <v>68</v>
      </c>
      <c r="I815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89</v>
      </c>
      <c r="Q815" t="s">
        <v>2049</v>
      </c>
      <c r="R815" t="s">
        <v>2050</v>
      </c>
      <c r="S815" s="7">
        <f t="shared" si="50"/>
        <v>41148.208333333336</v>
      </c>
      <c r="T815" s="8">
        <f t="shared" si="51"/>
        <v>41158.208333333336</v>
      </c>
    </row>
    <row r="816" spans="1:20" x14ac:dyDescent="0.3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48"/>
        <v>0.921875</v>
      </c>
      <c r="G816" t="s">
        <v>14</v>
      </c>
      <c r="H816">
        <v>36</v>
      </c>
      <c r="I816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">
        <v>2034</v>
      </c>
      <c r="R816" t="s">
        <v>2035</v>
      </c>
      <c r="S816" s="7">
        <f t="shared" si="50"/>
        <v>42517.208333333328</v>
      </c>
      <c r="T816" s="8">
        <f t="shared" si="51"/>
        <v>42519.208333333328</v>
      </c>
    </row>
    <row r="817" spans="1:20" ht="31" x14ac:dyDescent="0.3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48"/>
        <v>1.3023333333333333</v>
      </c>
      <c r="G817" t="s">
        <v>20</v>
      </c>
      <c r="H817">
        <v>183</v>
      </c>
      <c r="I817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">
        <v>2034</v>
      </c>
      <c r="R817" t="s">
        <v>2035</v>
      </c>
      <c r="S817" s="7">
        <f t="shared" si="50"/>
        <v>43068.25</v>
      </c>
      <c r="T817" s="8">
        <f t="shared" si="51"/>
        <v>43094.25</v>
      </c>
    </row>
    <row r="818" spans="1:20" x14ac:dyDescent="0.3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48"/>
        <v>6.1521739130434785</v>
      </c>
      <c r="G818" t="s">
        <v>20</v>
      </c>
      <c r="H818">
        <v>133</v>
      </c>
      <c r="I818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">
        <v>2038</v>
      </c>
      <c r="R818" t="s">
        <v>2039</v>
      </c>
      <c r="S818" s="7">
        <f t="shared" si="50"/>
        <v>41680.25</v>
      </c>
      <c r="T818" s="8">
        <f t="shared" si="51"/>
        <v>41682.25</v>
      </c>
    </row>
    <row r="819" spans="1:20" x14ac:dyDescent="0.3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48"/>
        <v>3.687953216374269</v>
      </c>
      <c r="G819" t="s">
        <v>20</v>
      </c>
      <c r="H819">
        <v>2489</v>
      </c>
      <c r="I819">
        <f t="shared" si="49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t="b">
        <v>0</v>
      </c>
      <c r="O819" t="b">
        <v>1</v>
      </c>
      <c r="P819" t="s">
        <v>68</v>
      </c>
      <c r="Q819" t="s">
        <v>2046</v>
      </c>
      <c r="R819" t="s">
        <v>2047</v>
      </c>
      <c r="S819" s="7">
        <f t="shared" si="50"/>
        <v>43589.208333333328</v>
      </c>
      <c r="T819" s="8">
        <f t="shared" si="51"/>
        <v>43617.208333333328</v>
      </c>
    </row>
    <row r="820" spans="1:20" x14ac:dyDescent="0.3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48"/>
        <v>10.948571428571428</v>
      </c>
      <c r="G820" t="s">
        <v>20</v>
      </c>
      <c r="H820">
        <v>69</v>
      </c>
      <c r="I820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">
        <v>2038</v>
      </c>
      <c r="R820" t="s">
        <v>2039</v>
      </c>
      <c r="S820" s="7">
        <f t="shared" si="50"/>
        <v>43486.25</v>
      </c>
      <c r="T820" s="8">
        <f t="shared" si="51"/>
        <v>43499.25</v>
      </c>
    </row>
    <row r="821" spans="1:20" ht="31" x14ac:dyDescent="0.3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48"/>
        <v>0.50662921348314605</v>
      </c>
      <c r="G821" t="s">
        <v>14</v>
      </c>
      <c r="H821">
        <v>47</v>
      </c>
      <c r="I821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89</v>
      </c>
      <c r="Q821" t="s">
        <v>2049</v>
      </c>
      <c r="R821" t="s">
        <v>2050</v>
      </c>
      <c r="S821" s="7">
        <f t="shared" si="50"/>
        <v>41237.25</v>
      </c>
      <c r="T821" s="8">
        <f t="shared" si="51"/>
        <v>41252.25</v>
      </c>
    </row>
    <row r="822" spans="1:20" x14ac:dyDescent="0.3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48"/>
        <v>8.0060000000000002</v>
      </c>
      <c r="G822" t="s">
        <v>20</v>
      </c>
      <c r="H822">
        <v>279</v>
      </c>
      <c r="I822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">
        <v>2034</v>
      </c>
      <c r="R822" t="s">
        <v>2035</v>
      </c>
      <c r="S822" s="7">
        <f t="shared" si="50"/>
        <v>43310.208333333328</v>
      </c>
      <c r="T822" s="8">
        <f t="shared" si="51"/>
        <v>43323.208333333328</v>
      </c>
    </row>
    <row r="823" spans="1:20" x14ac:dyDescent="0.3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48"/>
        <v>2.9128571428571428</v>
      </c>
      <c r="G823" t="s">
        <v>20</v>
      </c>
      <c r="H823">
        <v>210</v>
      </c>
      <c r="I823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">
        <v>2040</v>
      </c>
      <c r="R823" t="s">
        <v>2041</v>
      </c>
      <c r="S823" s="7">
        <f t="shared" si="50"/>
        <v>42794.25</v>
      </c>
      <c r="T823" s="8">
        <f t="shared" si="51"/>
        <v>42807.208333333328</v>
      </c>
    </row>
    <row r="824" spans="1:20" x14ac:dyDescent="0.3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48"/>
        <v>3.4996666666666667</v>
      </c>
      <c r="G824" t="s">
        <v>20</v>
      </c>
      <c r="H824">
        <v>2100</v>
      </c>
      <c r="I824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">
        <v>2034</v>
      </c>
      <c r="R824" t="s">
        <v>2035</v>
      </c>
      <c r="S824" s="7">
        <f t="shared" si="50"/>
        <v>41698.25</v>
      </c>
      <c r="T824" s="8">
        <f t="shared" si="51"/>
        <v>41715.208333333336</v>
      </c>
    </row>
    <row r="825" spans="1:20" x14ac:dyDescent="0.3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48"/>
        <v>3.5707317073170732</v>
      </c>
      <c r="G825" t="s">
        <v>20</v>
      </c>
      <c r="H825">
        <v>252</v>
      </c>
      <c r="I825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">
        <v>2034</v>
      </c>
      <c r="R825" t="s">
        <v>2035</v>
      </c>
      <c r="S825" s="7">
        <f t="shared" si="50"/>
        <v>41892.208333333336</v>
      </c>
      <c r="T825" s="8">
        <f t="shared" si="51"/>
        <v>41917.208333333336</v>
      </c>
    </row>
    <row r="826" spans="1:20" x14ac:dyDescent="0.3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48"/>
        <v>1.2648941176470587</v>
      </c>
      <c r="G826" t="s">
        <v>20</v>
      </c>
      <c r="H826">
        <v>1280</v>
      </c>
      <c r="I826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68</v>
      </c>
      <c r="Q826" t="s">
        <v>2046</v>
      </c>
      <c r="R826" t="s">
        <v>2047</v>
      </c>
      <c r="S826" s="7">
        <f t="shared" si="50"/>
        <v>40348.208333333336</v>
      </c>
      <c r="T826" s="8">
        <f t="shared" si="51"/>
        <v>40380.208333333336</v>
      </c>
    </row>
    <row r="827" spans="1:20" x14ac:dyDescent="0.3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48"/>
        <v>3.875</v>
      </c>
      <c r="G827" t="s">
        <v>20</v>
      </c>
      <c r="H827">
        <v>157</v>
      </c>
      <c r="I827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100</v>
      </c>
      <c r="Q827" t="s">
        <v>2040</v>
      </c>
      <c r="R827" t="s">
        <v>2051</v>
      </c>
      <c r="S827" s="7">
        <f t="shared" si="50"/>
        <v>42941.208333333328</v>
      </c>
      <c r="T827" s="8">
        <f t="shared" si="51"/>
        <v>42953.208333333328</v>
      </c>
    </row>
    <row r="828" spans="1:20" ht="31" x14ac:dyDescent="0.3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48"/>
        <v>4.5703571428571426</v>
      </c>
      <c r="G828" t="s">
        <v>20</v>
      </c>
      <c r="H828">
        <v>194</v>
      </c>
      <c r="I828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">
        <v>2038</v>
      </c>
      <c r="R828" t="s">
        <v>2039</v>
      </c>
      <c r="S828" s="7">
        <f t="shared" si="50"/>
        <v>40525.25</v>
      </c>
      <c r="T828" s="8">
        <f t="shared" si="51"/>
        <v>40553.25</v>
      </c>
    </row>
    <row r="829" spans="1:20" ht="31" x14ac:dyDescent="0.3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48"/>
        <v>2.6669565217391304</v>
      </c>
      <c r="G829" t="s">
        <v>20</v>
      </c>
      <c r="H829">
        <v>82</v>
      </c>
      <c r="I829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">
        <v>2040</v>
      </c>
      <c r="R829" t="s">
        <v>2043</v>
      </c>
      <c r="S829" s="7">
        <f t="shared" si="50"/>
        <v>40666.208333333336</v>
      </c>
      <c r="T829" s="8">
        <f t="shared" si="51"/>
        <v>40678.208333333336</v>
      </c>
    </row>
    <row r="830" spans="1:20" ht="31" x14ac:dyDescent="0.3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48"/>
        <v>0.69</v>
      </c>
      <c r="G830" t="s">
        <v>14</v>
      </c>
      <c r="H830">
        <v>70</v>
      </c>
      <c r="I830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">
        <v>2038</v>
      </c>
      <c r="R830" t="s">
        <v>2039</v>
      </c>
      <c r="S830" s="7">
        <f t="shared" si="50"/>
        <v>43340.208333333328</v>
      </c>
      <c r="T830" s="8">
        <f t="shared" si="51"/>
        <v>43365.208333333328</v>
      </c>
    </row>
    <row r="831" spans="1:20" x14ac:dyDescent="0.3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48"/>
        <v>0.51343749999999999</v>
      </c>
      <c r="G831" t="s">
        <v>14</v>
      </c>
      <c r="H831">
        <v>154</v>
      </c>
      <c r="I831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">
        <v>2038</v>
      </c>
      <c r="R831" t="s">
        <v>2039</v>
      </c>
      <c r="S831" s="7">
        <f t="shared" si="50"/>
        <v>42164.208333333328</v>
      </c>
      <c r="T831" s="8">
        <f t="shared" si="51"/>
        <v>42179.208333333328</v>
      </c>
    </row>
    <row r="832" spans="1:20" ht="31" x14ac:dyDescent="0.3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48"/>
        <v>1.1710526315789473E-2</v>
      </c>
      <c r="G832" t="s">
        <v>14</v>
      </c>
      <c r="H832">
        <v>22</v>
      </c>
      <c r="I832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">
        <v>2038</v>
      </c>
      <c r="R832" t="s">
        <v>2039</v>
      </c>
      <c r="S832" s="7">
        <f t="shared" si="50"/>
        <v>43103.25</v>
      </c>
      <c r="T832" s="8">
        <f t="shared" si="51"/>
        <v>43162.25</v>
      </c>
    </row>
    <row r="833" spans="1:20" ht="31" x14ac:dyDescent="0.3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48"/>
        <v>1.089773429454171</v>
      </c>
      <c r="G833" t="s">
        <v>20</v>
      </c>
      <c r="H833">
        <v>4233</v>
      </c>
      <c r="I833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122</v>
      </c>
      <c r="Q833" t="s">
        <v>2053</v>
      </c>
      <c r="R833" t="s">
        <v>2054</v>
      </c>
      <c r="S833" s="7">
        <f t="shared" si="50"/>
        <v>40994.208333333336</v>
      </c>
      <c r="T833" s="8">
        <f t="shared" si="51"/>
        <v>41028.208333333336</v>
      </c>
    </row>
    <row r="834" spans="1:20" x14ac:dyDescent="0.3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48"/>
        <v>3.1517592592592591</v>
      </c>
      <c r="G834" t="s">
        <v>20</v>
      </c>
      <c r="H834">
        <v>1297</v>
      </c>
      <c r="I834">
        <f t="shared" si="49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206</v>
      </c>
      <c r="Q834" t="s">
        <v>2046</v>
      </c>
      <c r="R834" t="s">
        <v>2058</v>
      </c>
      <c r="S834" s="7">
        <f t="shared" si="50"/>
        <v>42299.208333333328</v>
      </c>
      <c r="T834" s="8">
        <f t="shared" si="51"/>
        <v>42333.25</v>
      </c>
    </row>
    <row r="835" spans="1:20" x14ac:dyDescent="0.3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ref="F835:F898" si="52">E835/D835</f>
        <v>1.5769117647058823</v>
      </c>
      <c r="G835" t="s">
        <v>20</v>
      </c>
      <c r="H835">
        <v>165</v>
      </c>
      <c r="I835">
        <f t="shared" ref="I835:I898" si="53">IFERROR(E835/H835, "0")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206</v>
      </c>
      <c r="Q835" t="s">
        <v>2046</v>
      </c>
      <c r="R835" t="s">
        <v>2058</v>
      </c>
      <c r="S835" s="7">
        <f t="shared" ref="S835:S898" si="54">(((L835/60)/60)/24)+DATE(1970,1,1)</f>
        <v>40588.25</v>
      </c>
      <c r="T835" s="8">
        <f t="shared" ref="T835:T898" si="55">(((M835/60)/60)/24)+DATE(1970,1,1)</f>
        <v>40599.25</v>
      </c>
    </row>
    <row r="836" spans="1:20" x14ac:dyDescent="0.3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si="52"/>
        <v>1.5380821917808218</v>
      </c>
      <c r="G836" t="s">
        <v>20</v>
      </c>
      <c r="H836">
        <v>119</v>
      </c>
      <c r="I836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">
        <v>2038</v>
      </c>
      <c r="R836" t="s">
        <v>2039</v>
      </c>
      <c r="S836" s="7">
        <f t="shared" si="54"/>
        <v>41448.208333333336</v>
      </c>
      <c r="T836" s="8">
        <f t="shared" si="55"/>
        <v>41454.208333333336</v>
      </c>
    </row>
    <row r="837" spans="1:20" x14ac:dyDescent="0.3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52"/>
        <v>0.89738979118329465</v>
      </c>
      <c r="G837" t="s">
        <v>14</v>
      </c>
      <c r="H837">
        <v>1758</v>
      </c>
      <c r="I837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">
        <v>2036</v>
      </c>
      <c r="R837" t="s">
        <v>2037</v>
      </c>
      <c r="S837" s="7">
        <f t="shared" si="54"/>
        <v>42063.25</v>
      </c>
      <c r="T837" s="8">
        <f t="shared" si="55"/>
        <v>42069.25</v>
      </c>
    </row>
    <row r="838" spans="1:20" x14ac:dyDescent="0.3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52"/>
        <v>0.75135802469135804</v>
      </c>
      <c r="G838" t="s">
        <v>14</v>
      </c>
      <c r="H838">
        <v>94</v>
      </c>
      <c r="I838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60</v>
      </c>
      <c r="Q838" t="s">
        <v>2034</v>
      </c>
      <c r="R838" t="s">
        <v>2044</v>
      </c>
      <c r="S838" s="7">
        <f t="shared" si="54"/>
        <v>40214.25</v>
      </c>
      <c r="T838" s="8">
        <f t="shared" si="55"/>
        <v>40225.25</v>
      </c>
    </row>
    <row r="839" spans="1:20" x14ac:dyDescent="0.3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52"/>
        <v>8.5288135593220336</v>
      </c>
      <c r="G839" t="s">
        <v>20</v>
      </c>
      <c r="H839">
        <v>1797</v>
      </c>
      <c r="I839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159</v>
      </c>
      <c r="Q839" t="s">
        <v>2034</v>
      </c>
      <c r="R839" t="s">
        <v>2057</v>
      </c>
      <c r="S839" s="7">
        <f t="shared" si="54"/>
        <v>40629.208333333336</v>
      </c>
      <c r="T839" s="8">
        <f t="shared" si="55"/>
        <v>40683.208333333336</v>
      </c>
    </row>
    <row r="840" spans="1:20" x14ac:dyDescent="0.3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52"/>
        <v>1.3890625000000001</v>
      </c>
      <c r="G840" t="s">
        <v>20</v>
      </c>
      <c r="H840">
        <v>261</v>
      </c>
      <c r="I840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">
        <v>2038</v>
      </c>
      <c r="R840" t="s">
        <v>2039</v>
      </c>
      <c r="S840" s="7">
        <f t="shared" si="54"/>
        <v>43370.208333333328</v>
      </c>
      <c r="T840" s="8">
        <f t="shared" si="55"/>
        <v>43379.208333333328</v>
      </c>
    </row>
    <row r="841" spans="1:20" x14ac:dyDescent="0.3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52"/>
        <v>1.9018181818181819</v>
      </c>
      <c r="G841" t="s">
        <v>20</v>
      </c>
      <c r="H841">
        <v>157</v>
      </c>
      <c r="I841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">
        <v>2040</v>
      </c>
      <c r="R841" t="s">
        <v>2041</v>
      </c>
      <c r="S841" s="7">
        <f t="shared" si="54"/>
        <v>41715.208333333336</v>
      </c>
      <c r="T841" s="8">
        <f t="shared" si="55"/>
        <v>41760.208333333336</v>
      </c>
    </row>
    <row r="842" spans="1:20" x14ac:dyDescent="0.3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52"/>
        <v>1.0024333619948409</v>
      </c>
      <c r="G842" t="s">
        <v>20</v>
      </c>
      <c r="H842">
        <v>3533</v>
      </c>
      <c r="I842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">
        <v>2038</v>
      </c>
      <c r="R842" t="s">
        <v>2039</v>
      </c>
      <c r="S842" s="7">
        <f t="shared" si="54"/>
        <v>41836.208333333336</v>
      </c>
      <c r="T842" s="8">
        <f t="shared" si="55"/>
        <v>41838.208333333336</v>
      </c>
    </row>
    <row r="843" spans="1:20" x14ac:dyDescent="0.3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52"/>
        <v>1.4275824175824177</v>
      </c>
      <c r="G843" t="s">
        <v>20</v>
      </c>
      <c r="H843">
        <v>155</v>
      </c>
      <c r="I843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">
        <v>2036</v>
      </c>
      <c r="R843" t="s">
        <v>2037</v>
      </c>
      <c r="S843" s="7">
        <f t="shared" si="54"/>
        <v>42419.25</v>
      </c>
      <c r="T843" s="8">
        <f t="shared" si="55"/>
        <v>42435.25</v>
      </c>
    </row>
    <row r="844" spans="1:20" ht="31" x14ac:dyDescent="0.3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52"/>
        <v>5.6313333333333331</v>
      </c>
      <c r="G844" t="s">
        <v>20</v>
      </c>
      <c r="H844">
        <v>132</v>
      </c>
      <c r="I844">
        <f t="shared" si="5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t="b">
        <v>0</v>
      </c>
      <c r="O844" t="b">
        <v>0</v>
      </c>
      <c r="P844" t="s">
        <v>65</v>
      </c>
      <c r="Q844" t="s">
        <v>2036</v>
      </c>
      <c r="R844" t="s">
        <v>2045</v>
      </c>
      <c r="S844" s="7">
        <f t="shared" si="54"/>
        <v>43266.208333333328</v>
      </c>
      <c r="T844" s="8">
        <f t="shared" si="55"/>
        <v>43269.208333333328</v>
      </c>
    </row>
    <row r="845" spans="1:20" ht="31" x14ac:dyDescent="0.3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52"/>
        <v>0.30715909090909088</v>
      </c>
      <c r="G845" t="s">
        <v>14</v>
      </c>
      <c r="H845">
        <v>33</v>
      </c>
      <c r="I845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122</v>
      </c>
      <c r="Q845" t="s">
        <v>2053</v>
      </c>
      <c r="R845" t="s">
        <v>2054</v>
      </c>
      <c r="S845" s="7">
        <f t="shared" si="54"/>
        <v>43338.208333333328</v>
      </c>
      <c r="T845" s="8">
        <f t="shared" si="55"/>
        <v>43344.208333333328</v>
      </c>
    </row>
    <row r="846" spans="1:20" x14ac:dyDescent="0.3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52"/>
        <v>0.99397727272727276</v>
      </c>
      <c r="G846" t="s">
        <v>74</v>
      </c>
      <c r="H846">
        <v>94</v>
      </c>
      <c r="I846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">
        <v>2040</v>
      </c>
      <c r="R846" t="s">
        <v>2041</v>
      </c>
      <c r="S846" s="7">
        <f t="shared" si="54"/>
        <v>40930.25</v>
      </c>
      <c r="T846" s="8">
        <f t="shared" si="55"/>
        <v>40933.25</v>
      </c>
    </row>
    <row r="847" spans="1:20" x14ac:dyDescent="0.3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52"/>
        <v>1.9754935622317598</v>
      </c>
      <c r="G847" t="s">
        <v>20</v>
      </c>
      <c r="H847">
        <v>1354</v>
      </c>
      <c r="I847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">
        <v>2036</v>
      </c>
      <c r="R847" t="s">
        <v>2037</v>
      </c>
      <c r="S847" s="7">
        <f t="shared" si="54"/>
        <v>43235.208333333328</v>
      </c>
      <c r="T847" s="8">
        <f t="shared" si="55"/>
        <v>43272.208333333328</v>
      </c>
    </row>
    <row r="848" spans="1:20" x14ac:dyDescent="0.3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52"/>
        <v>5.085</v>
      </c>
      <c r="G848" t="s">
        <v>20</v>
      </c>
      <c r="H848">
        <v>48</v>
      </c>
      <c r="I848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">
        <v>2036</v>
      </c>
      <c r="R848" t="s">
        <v>2037</v>
      </c>
      <c r="S848" s="7">
        <f t="shared" si="54"/>
        <v>43302.208333333328</v>
      </c>
      <c r="T848" s="8">
        <f t="shared" si="55"/>
        <v>43338.208333333328</v>
      </c>
    </row>
    <row r="849" spans="1:20" x14ac:dyDescent="0.3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52"/>
        <v>2.3774468085106384</v>
      </c>
      <c r="G849" t="s">
        <v>20</v>
      </c>
      <c r="H849">
        <v>110</v>
      </c>
      <c r="I849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">
        <v>2032</v>
      </c>
      <c r="R849" t="s">
        <v>2033</v>
      </c>
      <c r="S849" s="7">
        <f t="shared" si="54"/>
        <v>43107.25</v>
      </c>
      <c r="T849" s="8">
        <f t="shared" si="55"/>
        <v>43110.25</v>
      </c>
    </row>
    <row r="850" spans="1:20" x14ac:dyDescent="0.3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52"/>
        <v>3.3846875000000001</v>
      </c>
      <c r="G850" t="s">
        <v>20</v>
      </c>
      <c r="H850">
        <v>172</v>
      </c>
      <c r="I850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">
        <v>2040</v>
      </c>
      <c r="R850" t="s">
        <v>2043</v>
      </c>
      <c r="S850" s="7">
        <f t="shared" si="54"/>
        <v>40341.208333333336</v>
      </c>
      <c r="T850" s="8">
        <f t="shared" si="55"/>
        <v>40350.208333333336</v>
      </c>
    </row>
    <row r="851" spans="1:20" x14ac:dyDescent="0.3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52"/>
        <v>1.3308955223880596</v>
      </c>
      <c r="G851" t="s">
        <v>20</v>
      </c>
      <c r="H851">
        <v>307</v>
      </c>
      <c r="I851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60</v>
      </c>
      <c r="Q851" t="s">
        <v>2034</v>
      </c>
      <c r="R851" t="s">
        <v>2044</v>
      </c>
      <c r="S851" s="7">
        <f t="shared" si="54"/>
        <v>40948.25</v>
      </c>
      <c r="T851" s="8">
        <f t="shared" si="55"/>
        <v>40951.25</v>
      </c>
    </row>
    <row r="852" spans="1:20" x14ac:dyDescent="0.3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52"/>
        <v>0.01</v>
      </c>
      <c r="G852" t="s">
        <v>14</v>
      </c>
      <c r="H852">
        <v>1</v>
      </c>
      <c r="I852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">
        <v>2034</v>
      </c>
      <c r="R852" t="s">
        <v>2035</v>
      </c>
      <c r="S852" s="7">
        <f t="shared" si="54"/>
        <v>40866.25</v>
      </c>
      <c r="T852" s="8">
        <f t="shared" si="55"/>
        <v>40881.25</v>
      </c>
    </row>
    <row r="853" spans="1:20" ht="31" x14ac:dyDescent="0.3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52"/>
        <v>2.0779999999999998</v>
      </c>
      <c r="G853" t="s">
        <v>20</v>
      </c>
      <c r="H853">
        <v>160</v>
      </c>
      <c r="I853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">
        <v>2034</v>
      </c>
      <c r="R853" t="s">
        <v>2042</v>
      </c>
      <c r="S853" s="7">
        <f t="shared" si="54"/>
        <v>41031.208333333336</v>
      </c>
      <c r="T853" s="8">
        <f t="shared" si="55"/>
        <v>41064.208333333336</v>
      </c>
    </row>
    <row r="854" spans="1:20" ht="31" x14ac:dyDescent="0.3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52"/>
        <v>0.51122448979591839</v>
      </c>
      <c r="G854" t="s">
        <v>14</v>
      </c>
      <c r="H854">
        <v>31</v>
      </c>
      <c r="I854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89</v>
      </c>
      <c r="Q854" t="s">
        <v>2049</v>
      </c>
      <c r="R854" t="s">
        <v>2050</v>
      </c>
      <c r="S854" s="7">
        <f t="shared" si="54"/>
        <v>40740.208333333336</v>
      </c>
      <c r="T854" s="8">
        <f t="shared" si="55"/>
        <v>40750.208333333336</v>
      </c>
    </row>
    <row r="855" spans="1:20" x14ac:dyDescent="0.3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52"/>
        <v>6.5205847953216374</v>
      </c>
      <c r="G855" t="s">
        <v>20</v>
      </c>
      <c r="H855">
        <v>1467</v>
      </c>
      <c r="I855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60</v>
      </c>
      <c r="Q855" t="s">
        <v>2034</v>
      </c>
      <c r="R855" t="s">
        <v>2044</v>
      </c>
      <c r="S855" s="7">
        <f t="shared" si="54"/>
        <v>40714.208333333336</v>
      </c>
      <c r="T855" s="8">
        <f t="shared" si="55"/>
        <v>40719.208333333336</v>
      </c>
    </row>
    <row r="856" spans="1:20" ht="31" x14ac:dyDescent="0.3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52"/>
        <v>1.1363099415204678</v>
      </c>
      <c r="G856" t="s">
        <v>20</v>
      </c>
      <c r="H856">
        <v>2662</v>
      </c>
      <c r="I856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119</v>
      </c>
      <c r="Q856" t="s">
        <v>2046</v>
      </c>
      <c r="R856" t="s">
        <v>2052</v>
      </c>
      <c r="S856" s="7">
        <f t="shared" si="54"/>
        <v>43787.25</v>
      </c>
      <c r="T856" s="8">
        <f t="shared" si="55"/>
        <v>43814.25</v>
      </c>
    </row>
    <row r="857" spans="1:20" x14ac:dyDescent="0.3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52"/>
        <v>1.0237606837606839</v>
      </c>
      <c r="G857" t="s">
        <v>20</v>
      </c>
      <c r="H857">
        <v>452</v>
      </c>
      <c r="I857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">
        <v>2038</v>
      </c>
      <c r="R857" t="s">
        <v>2039</v>
      </c>
      <c r="S857" s="7">
        <f t="shared" si="54"/>
        <v>40712.208333333336</v>
      </c>
      <c r="T857" s="8">
        <f t="shared" si="55"/>
        <v>40743.208333333336</v>
      </c>
    </row>
    <row r="858" spans="1:20" x14ac:dyDescent="0.3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52"/>
        <v>3.5658333333333334</v>
      </c>
      <c r="G858" t="s">
        <v>20</v>
      </c>
      <c r="H858">
        <v>158</v>
      </c>
      <c r="I858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">
        <v>2032</v>
      </c>
      <c r="R858" t="s">
        <v>2033</v>
      </c>
      <c r="S858" s="7">
        <f t="shared" si="54"/>
        <v>41023.208333333336</v>
      </c>
      <c r="T858" s="8">
        <f t="shared" si="55"/>
        <v>41040.208333333336</v>
      </c>
    </row>
    <row r="859" spans="1:20" ht="31" x14ac:dyDescent="0.3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52"/>
        <v>1.3986792452830188</v>
      </c>
      <c r="G859" t="s">
        <v>20</v>
      </c>
      <c r="H859">
        <v>225</v>
      </c>
      <c r="I859">
        <f t="shared" si="5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t="b">
        <v>1</v>
      </c>
      <c r="O859" t="b">
        <v>0</v>
      </c>
      <c r="P859" t="s">
        <v>100</v>
      </c>
      <c r="Q859" t="s">
        <v>2040</v>
      </c>
      <c r="R859" t="s">
        <v>2051</v>
      </c>
      <c r="S859" s="7">
        <f t="shared" si="54"/>
        <v>40944.25</v>
      </c>
      <c r="T859" s="8">
        <f t="shared" si="55"/>
        <v>40967.25</v>
      </c>
    </row>
    <row r="860" spans="1:20" ht="31" x14ac:dyDescent="0.3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52"/>
        <v>0.69450000000000001</v>
      </c>
      <c r="G860" t="s">
        <v>14</v>
      </c>
      <c r="H860">
        <v>35</v>
      </c>
      <c r="I860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">
        <v>2032</v>
      </c>
      <c r="R860" t="s">
        <v>2033</v>
      </c>
      <c r="S860" s="7">
        <f t="shared" si="54"/>
        <v>43211.208333333328</v>
      </c>
      <c r="T860" s="8">
        <f t="shared" si="55"/>
        <v>43218.208333333328</v>
      </c>
    </row>
    <row r="861" spans="1:20" ht="31" x14ac:dyDescent="0.3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52"/>
        <v>0.35534246575342465</v>
      </c>
      <c r="G861" t="s">
        <v>14</v>
      </c>
      <c r="H861">
        <v>63</v>
      </c>
      <c r="I861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">
        <v>2038</v>
      </c>
      <c r="R861" t="s">
        <v>2039</v>
      </c>
      <c r="S861" s="7">
        <f t="shared" si="54"/>
        <v>41334.25</v>
      </c>
      <c r="T861" s="8">
        <f t="shared" si="55"/>
        <v>41352.208333333336</v>
      </c>
    </row>
    <row r="862" spans="1:20" ht="31" x14ac:dyDescent="0.3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52"/>
        <v>2.5165000000000002</v>
      </c>
      <c r="G862" t="s">
        <v>20</v>
      </c>
      <c r="H862">
        <v>65</v>
      </c>
      <c r="I862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65</v>
      </c>
      <c r="Q862" t="s">
        <v>2036</v>
      </c>
      <c r="R862" t="s">
        <v>2045</v>
      </c>
      <c r="S862" s="7">
        <f t="shared" si="54"/>
        <v>43515.25</v>
      </c>
      <c r="T862" s="8">
        <f t="shared" si="55"/>
        <v>43525.25</v>
      </c>
    </row>
    <row r="863" spans="1:20" x14ac:dyDescent="0.3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52"/>
        <v>1.0587500000000001</v>
      </c>
      <c r="G863" t="s">
        <v>20</v>
      </c>
      <c r="H863">
        <v>163</v>
      </c>
      <c r="I863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">
        <v>2038</v>
      </c>
      <c r="R863" t="s">
        <v>2039</v>
      </c>
      <c r="S863" s="7">
        <f t="shared" si="54"/>
        <v>40258.208333333336</v>
      </c>
      <c r="T863" s="8">
        <f t="shared" si="55"/>
        <v>40266.208333333336</v>
      </c>
    </row>
    <row r="864" spans="1:20" x14ac:dyDescent="0.3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52"/>
        <v>1.8742857142857143</v>
      </c>
      <c r="G864" t="s">
        <v>20</v>
      </c>
      <c r="H864">
        <v>85</v>
      </c>
      <c r="I864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">
        <v>2038</v>
      </c>
      <c r="R864" t="s">
        <v>2039</v>
      </c>
      <c r="S864" s="7">
        <f t="shared" si="54"/>
        <v>40756.208333333336</v>
      </c>
      <c r="T864" s="8">
        <f t="shared" si="55"/>
        <v>40760.208333333336</v>
      </c>
    </row>
    <row r="865" spans="1:20" x14ac:dyDescent="0.3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52"/>
        <v>3.8678571428571429</v>
      </c>
      <c r="G865" t="s">
        <v>20</v>
      </c>
      <c r="H865">
        <v>217</v>
      </c>
      <c r="I865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269</v>
      </c>
      <c r="Q865" t="s">
        <v>2040</v>
      </c>
      <c r="R865" t="s">
        <v>2059</v>
      </c>
      <c r="S865" s="7">
        <f t="shared" si="54"/>
        <v>42172.208333333328</v>
      </c>
      <c r="T865" s="8">
        <f t="shared" si="55"/>
        <v>42195.208333333328</v>
      </c>
    </row>
    <row r="866" spans="1:20" x14ac:dyDescent="0.3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52"/>
        <v>3.4707142857142856</v>
      </c>
      <c r="G866" t="s">
        <v>20</v>
      </c>
      <c r="H866">
        <v>150</v>
      </c>
      <c r="I866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100</v>
      </c>
      <c r="Q866" t="s">
        <v>2040</v>
      </c>
      <c r="R866" t="s">
        <v>2051</v>
      </c>
      <c r="S866" s="7">
        <f t="shared" si="54"/>
        <v>42601.208333333328</v>
      </c>
      <c r="T866" s="8">
        <f t="shared" si="55"/>
        <v>42606.208333333328</v>
      </c>
    </row>
    <row r="867" spans="1:20" x14ac:dyDescent="0.3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52"/>
        <v>1.8582098765432098</v>
      </c>
      <c r="G867" t="s">
        <v>20</v>
      </c>
      <c r="H867">
        <v>3272</v>
      </c>
      <c r="I867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">
        <v>2038</v>
      </c>
      <c r="R867" t="s">
        <v>2039</v>
      </c>
      <c r="S867" s="7">
        <f t="shared" si="54"/>
        <v>41897.208333333336</v>
      </c>
      <c r="T867" s="8">
        <f t="shared" si="55"/>
        <v>41906.208333333336</v>
      </c>
    </row>
    <row r="868" spans="1:20" x14ac:dyDescent="0.3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52"/>
        <v>0.43241247264770238</v>
      </c>
      <c r="G868" t="s">
        <v>74</v>
      </c>
      <c r="H868">
        <v>898</v>
      </c>
      <c r="I868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122</v>
      </c>
      <c r="Q868" t="s">
        <v>2053</v>
      </c>
      <c r="R868" t="s">
        <v>2054</v>
      </c>
      <c r="S868" s="7">
        <f t="shared" si="54"/>
        <v>40671.208333333336</v>
      </c>
      <c r="T868" s="8">
        <f t="shared" si="55"/>
        <v>40672.208333333336</v>
      </c>
    </row>
    <row r="869" spans="1:20" ht="31" x14ac:dyDescent="0.3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52"/>
        <v>1.6243749999999999</v>
      </c>
      <c r="G869" t="s">
        <v>20</v>
      </c>
      <c r="H869">
        <v>300</v>
      </c>
      <c r="I869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">
        <v>2032</v>
      </c>
      <c r="R869" t="s">
        <v>2033</v>
      </c>
      <c r="S869" s="7">
        <f t="shared" si="54"/>
        <v>43382.208333333328</v>
      </c>
      <c r="T869" s="8">
        <f t="shared" si="55"/>
        <v>43388.208333333328</v>
      </c>
    </row>
    <row r="870" spans="1:20" x14ac:dyDescent="0.3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52"/>
        <v>1.8484285714285715</v>
      </c>
      <c r="G870" t="s">
        <v>20</v>
      </c>
      <c r="H870">
        <v>126</v>
      </c>
      <c r="I870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">
        <v>2038</v>
      </c>
      <c r="R870" t="s">
        <v>2039</v>
      </c>
      <c r="S870" s="7">
        <f t="shared" si="54"/>
        <v>41559.208333333336</v>
      </c>
      <c r="T870" s="8">
        <f t="shared" si="55"/>
        <v>41570.208333333336</v>
      </c>
    </row>
    <row r="871" spans="1:20" x14ac:dyDescent="0.3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52"/>
        <v>0.23703520691785052</v>
      </c>
      <c r="G871" t="s">
        <v>14</v>
      </c>
      <c r="H871">
        <v>526</v>
      </c>
      <c r="I871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">
        <v>2040</v>
      </c>
      <c r="R871" t="s">
        <v>2043</v>
      </c>
      <c r="S871" s="7">
        <f t="shared" si="54"/>
        <v>40350.208333333336</v>
      </c>
      <c r="T871" s="8">
        <f t="shared" si="55"/>
        <v>40364.208333333336</v>
      </c>
    </row>
    <row r="872" spans="1:20" x14ac:dyDescent="0.3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52"/>
        <v>0.89870129870129867</v>
      </c>
      <c r="G872" t="s">
        <v>14</v>
      </c>
      <c r="H872">
        <v>121</v>
      </c>
      <c r="I872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">
        <v>2038</v>
      </c>
      <c r="R872" t="s">
        <v>2039</v>
      </c>
      <c r="S872" s="7">
        <f t="shared" si="54"/>
        <v>42240.208333333328</v>
      </c>
      <c r="T872" s="8">
        <f t="shared" si="55"/>
        <v>42265.208333333328</v>
      </c>
    </row>
    <row r="873" spans="1:20" ht="31" x14ac:dyDescent="0.3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52"/>
        <v>2.7260419580419581</v>
      </c>
      <c r="G873" t="s">
        <v>20</v>
      </c>
      <c r="H873">
        <v>2320</v>
      </c>
      <c r="I873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">
        <v>2038</v>
      </c>
      <c r="R873" t="s">
        <v>2039</v>
      </c>
      <c r="S873" s="7">
        <f t="shared" si="54"/>
        <v>43040.208333333328</v>
      </c>
      <c r="T873" s="8">
        <f t="shared" si="55"/>
        <v>43058.25</v>
      </c>
    </row>
    <row r="874" spans="1:20" x14ac:dyDescent="0.3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52"/>
        <v>1.7004255319148935</v>
      </c>
      <c r="G874" t="s">
        <v>20</v>
      </c>
      <c r="H874">
        <v>81</v>
      </c>
      <c r="I874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474</v>
      </c>
      <c r="Q874" t="s">
        <v>2040</v>
      </c>
      <c r="R874" t="s">
        <v>2062</v>
      </c>
      <c r="S874" s="7">
        <f t="shared" si="54"/>
        <v>43346.208333333328</v>
      </c>
      <c r="T874" s="8">
        <f t="shared" si="55"/>
        <v>43351.208333333328</v>
      </c>
    </row>
    <row r="875" spans="1:20" x14ac:dyDescent="0.3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52"/>
        <v>1.8828503562945369</v>
      </c>
      <c r="G875" t="s">
        <v>20</v>
      </c>
      <c r="H875">
        <v>1887</v>
      </c>
      <c r="I875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122</v>
      </c>
      <c r="Q875" t="s">
        <v>2053</v>
      </c>
      <c r="R875" t="s">
        <v>2054</v>
      </c>
      <c r="S875" s="7">
        <f t="shared" si="54"/>
        <v>41647.25</v>
      </c>
      <c r="T875" s="8">
        <f t="shared" si="55"/>
        <v>41652.25</v>
      </c>
    </row>
    <row r="876" spans="1:20" x14ac:dyDescent="0.3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52"/>
        <v>3.4693532338308457</v>
      </c>
      <c r="G876" t="s">
        <v>20</v>
      </c>
      <c r="H876">
        <v>4358</v>
      </c>
      <c r="I876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122</v>
      </c>
      <c r="Q876" t="s">
        <v>2053</v>
      </c>
      <c r="R876" t="s">
        <v>2054</v>
      </c>
      <c r="S876" s="7">
        <f t="shared" si="54"/>
        <v>40291.208333333336</v>
      </c>
      <c r="T876" s="8">
        <f t="shared" si="55"/>
        <v>40329.208333333336</v>
      </c>
    </row>
    <row r="877" spans="1:20" x14ac:dyDescent="0.3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52"/>
        <v>0.6917721518987342</v>
      </c>
      <c r="G877" t="s">
        <v>14</v>
      </c>
      <c r="H877">
        <v>67</v>
      </c>
      <c r="I877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">
        <v>2034</v>
      </c>
      <c r="R877" t="s">
        <v>2035</v>
      </c>
      <c r="S877" s="7">
        <f t="shared" si="54"/>
        <v>40556.25</v>
      </c>
      <c r="T877" s="8">
        <f t="shared" si="55"/>
        <v>40557.25</v>
      </c>
    </row>
    <row r="878" spans="1:20" ht="31" x14ac:dyDescent="0.3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52"/>
        <v>0.25433734939759034</v>
      </c>
      <c r="G878" t="s">
        <v>14</v>
      </c>
      <c r="H878">
        <v>57</v>
      </c>
      <c r="I878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122</v>
      </c>
      <c r="Q878" t="s">
        <v>2053</v>
      </c>
      <c r="R878" t="s">
        <v>2054</v>
      </c>
      <c r="S878" s="7">
        <f t="shared" si="54"/>
        <v>43624.208333333328</v>
      </c>
      <c r="T878" s="8">
        <f t="shared" si="55"/>
        <v>43648.208333333328</v>
      </c>
    </row>
    <row r="879" spans="1:20" x14ac:dyDescent="0.3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52"/>
        <v>0.77400977995110021</v>
      </c>
      <c r="G879" t="s">
        <v>14</v>
      </c>
      <c r="H879">
        <v>1229</v>
      </c>
      <c r="I879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">
        <v>2032</v>
      </c>
      <c r="R879" t="s">
        <v>2033</v>
      </c>
      <c r="S879" s="7">
        <f t="shared" si="54"/>
        <v>42577.208333333328</v>
      </c>
      <c r="T879" s="8">
        <f t="shared" si="55"/>
        <v>42578.208333333328</v>
      </c>
    </row>
    <row r="880" spans="1:20" x14ac:dyDescent="0.3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52"/>
        <v>0.37481481481481482</v>
      </c>
      <c r="G880" t="s">
        <v>14</v>
      </c>
      <c r="H880">
        <v>12</v>
      </c>
      <c r="I880">
        <f t="shared" si="5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t="b">
        <v>0</v>
      </c>
      <c r="O880" t="b">
        <v>0</v>
      </c>
      <c r="P880" t="s">
        <v>148</v>
      </c>
      <c r="Q880" t="s">
        <v>2034</v>
      </c>
      <c r="R880" t="s">
        <v>2056</v>
      </c>
      <c r="S880" s="7">
        <f t="shared" si="54"/>
        <v>43845.25</v>
      </c>
      <c r="T880" s="8">
        <f t="shared" si="55"/>
        <v>43869.25</v>
      </c>
    </row>
    <row r="881" spans="1:20" x14ac:dyDescent="0.3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52"/>
        <v>5.4379999999999997</v>
      </c>
      <c r="G881" t="s">
        <v>20</v>
      </c>
      <c r="H881">
        <v>53</v>
      </c>
      <c r="I881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68</v>
      </c>
      <c r="Q881" t="s">
        <v>2046</v>
      </c>
      <c r="R881" t="s">
        <v>2047</v>
      </c>
      <c r="S881" s="7">
        <f t="shared" si="54"/>
        <v>42788.25</v>
      </c>
      <c r="T881" s="8">
        <f t="shared" si="55"/>
        <v>42797.25</v>
      </c>
    </row>
    <row r="882" spans="1:20" x14ac:dyDescent="0.3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52"/>
        <v>2.2852189349112426</v>
      </c>
      <c r="G882" t="s">
        <v>20</v>
      </c>
      <c r="H882">
        <v>2414</v>
      </c>
      <c r="I882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">
        <v>2034</v>
      </c>
      <c r="R882" t="s">
        <v>2042</v>
      </c>
      <c r="S882" s="7">
        <f t="shared" si="54"/>
        <v>43667.208333333328</v>
      </c>
      <c r="T882" s="8">
        <f t="shared" si="55"/>
        <v>43669.208333333328</v>
      </c>
    </row>
    <row r="883" spans="1:20" x14ac:dyDescent="0.3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52"/>
        <v>0.38948339483394834</v>
      </c>
      <c r="G883" t="s">
        <v>14</v>
      </c>
      <c r="H883">
        <v>452</v>
      </c>
      <c r="I883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">
        <v>2038</v>
      </c>
      <c r="R883" t="s">
        <v>2039</v>
      </c>
      <c r="S883" s="7">
        <f t="shared" si="54"/>
        <v>42194.208333333328</v>
      </c>
      <c r="T883" s="8">
        <f t="shared" si="55"/>
        <v>42223.208333333328</v>
      </c>
    </row>
    <row r="884" spans="1:20" x14ac:dyDescent="0.3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52"/>
        <v>3.7</v>
      </c>
      <c r="G884" t="s">
        <v>20</v>
      </c>
      <c r="H884">
        <v>80</v>
      </c>
      <c r="I884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">
        <v>2038</v>
      </c>
      <c r="R884" t="s">
        <v>2039</v>
      </c>
      <c r="S884" s="7">
        <f t="shared" si="54"/>
        <v>42025.25</v>
      </c>
      <c r="T884" s="8">
        <f t="shared" si="55"/>
        <v>42029.25</v>
      </c>
    </row>
    <row r="885" spans="1:20" ht="31" x14ac:dyDescent="0.3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52"/>
        <v>2.3791176470588233</v>
      </c>
      <c r="G885" t="s">
        <v>20</v>
      </c>
      <c r="H885">
        <v>193</v>
      </c>
      <c r="I885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100</v>
      </c>
      <c r="Q885" t="s">
        <v>2040</v>
      </c>
      <c r="R885" t="s">
        <v>2051</v>
      </c>
      <c r="S885" s="7">
        <f t="shared" si="54"/>
        <v>40323.208333333336</v>
      </c>
      <c r="T885" s="8">
        <f t="shared" si="55"/>
        <v>40359.208333333336</v>
      </c>
    </row>
    <row r="886" spans="1:20" x14ac:dyDescent="0.3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52"/>
        <v>0.64036299765807958</v>
      </c>
      <c r="G886" t="s">
        <v>14</v>
      </c>
      <c r="H886">
        <v>1886</v>
      </c>
      <c r="I886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">
        <v>2038</v>
      </c>
      <c r="R886" t="s">
        <v>2039</v>
      </c>
      <c r="S886" s="7">
        <f t="shared" si="54"/>
        <v>41763.208333333336</v>
      </c>
      <c r="T886" s="8">
        <f t="shared" si="55"/>
        <v>41765.208333333336</v>
      </c>
    </row>
    <row r="887" spans="1:20" x14ac:dyDescent="0.3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52"/>
        <v>1.1827777777777777</v>
      </c>
      <c r="G887" t="s">
        <v>20</v>
      </c>
      <c r="H887">
        <v>52</v>
      </c>
      <c r="I887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">
        <v>2038</v>
      </c>
      <c r="R887" t="s">
        <v>2039</v>
      </c>
      <c r="S887" s="7">
        <f t="shared" si="54"/>
        <v>40335.208333333336</v>
      </c>
      <c r="T887" s="8">
        <f t="shared" si="55"/>
        <v>40373.208333333336</v>
      </c>
    </row>
    <row r="888" spans="1:20" x14ac:dyDescent="0.3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52"/>
        <v>0.84824037184594958</v>
      </c>
      <c r="G888" t="s">
        <v>14</v>
      </c>
      <c r="H888">
        <v>1825</v>
      </c>
      <c r="I888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60</v>
      </c>
      <c r="Q888" t="s">
        <v>2034</v>
      </c>
      <c r="R888" t="s">
        <v>2044</v>
      </c>
      <c r="S888" s="7">
        <f t="shared" si="54"/>
        <v>40416.208333333336</v>
      </c>
      <c r="T888" s="8">
        <f t="shared" si="55"/>
        <v>40434.208333333336</v>
      </c>
    </row>
    <row r="889" spans="1:20" ht="31" x14ac:dyDescent="0.3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52"/>
        <v>0.29346153846153844</v>
      </c>
      <c r="G889" t="s">
        <v>14</v>
      </c>
      <c r="H889">
        <v>31</v>
      </c>
      <c r="I889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">
        <v>2038</v>
      </c>
      <c r="R889" t="s">
        <v>2039</v>
      </c>
      <c r="S889" s="7">
        <f t="shared" si="54"/>
        <v>42202.208333333328</v>
      </c>
      <c r="T889" s="8">
        <f t="shared" si="55"/>
        <v>42249.208333333328</v>
      </c>
    </row>
    <row r="890" spans="1:20" ht="31" x14ac:dyDescent="0.3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52"/>
        <v>2.0989655172413793</v>
      </c>
      <c r="G890" t="s">
        <v>20</v>
      </c>
      <c r="H890">
        <v>290</v>
      </c>
      <c r="I890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">
        <v>2038</v>
      </c>
      <c r="R890" t="s">
        <v>2039</v>
      </c>
      <c r="S890" s="7">
        <f t="shared" si="54"/>
        <v>42836.208333333328</v>
      </c>
      <c r="T890" s="8">
        <f t="shared" si="55"/>
        <v>42855.208333333328</v>
      </c>
    </row>
    <row r="891" spans="1:20" x14ac:dyDescent="0.3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52"/>
        <v>1.697857142857143</v>
      </c>
      <c r="G891" t="s">
        <v>20</v>
      </c>
      <c r="H891">
        <v>122</v>
      </c>
      <c r="I891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">
        <v>2034</v>
      </c>
      <c r="R891" t="s">
        <v>2042</v>
      </c>
      <c r="S891" s="7">
        <f t="shared" si="54"/>
        <v>41710.208333333336</v>
      </c>
      <c r="T891" s="8">
        <f t="shared" si="55"/>
        <v>41717.208333333336</v>
      </c>
    </row>
    <row r="892" spans="1:20" x14ac:dyDescent="0.3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52"/>
        <v>1.1595907738095239</v>
      </c>
      <c r="G892" t="s">
        <v>20</v>
      </c>
      <c r="H892">
        <v>1470</v>
      </c>
      <c r="I892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60</v>
      </c>
      <c r="Q892" t="s">
        <v>2034</v>
      </c>
      <c r="R892" t="s">
        <v>2044</v>
      </c>
      <c r="S892" s="7">
        <f t="shared" si="54"/>
        <v>43640.208333333328</v>
      </c>
      <c r="T892" s="8">
        <f t="shared" si="55"/>
        <v>43641.208333333328</v>
      </c>
    </row>
    <row r="893" spans="1:20" ht="31" x14ac:dyDescent="0.3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52"/>
        <v>2.5859999999999999</v>
      </c>
      <c r="G893" t="s">
        <v>20</v>
      </c>
      <c r="H893">
        <v>165</v>
      </c>
      <c r="I893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">
        <v>2040</v>
      </c>
      <c r="R893" t="s">
        <v>2041</v>
      </c>
      <c r="S893" s="7">
        <f t="shared" si="54"/>
        <v>40880.25</v>
      </c>
      <c r="T893" s="8">
        <f t="shared" si="55"/>
        <v>40924.25</v>
      </c>
    </row>
    <row r="894" spans="1:20" x14ac:dyDescent="0.3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52"/>
        <v>2.3058333333333332</v>
      </c>
      <c r="G894" t="s">
        <v>20</v>
      </c>
      <c r="H894">
        <v>182</v>
      </c>
      <c r="I894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206</v>
      </c>
      <c r="Q894" t="s">
        <v>2046</v>
      </c>
      <c r="R894" t="s">
        <v>2058</v>
      </c>
      <c r="S894" s="7">
        <f t="shared" si="54"/>
        <v>40319.208333333336</v>
      </c>
      <c r="T894" s="8">
        <f t="shared" si="55"/>
        <v>40360.208333333336</v>
      </c>
    </row>
    <row r="895" spans="1:20" x14ac:dyDescent="0.3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52"/>
        <v>1.2821428571428573</v>
      </c>
      <c r="G895" t="s">
        <v>20</v>
      </c>
      <c r="H895">
        <v>199</v>
      </c>
      <c r="I895">
        <f t="shared" si="5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">
        <v>2040</v>
      </c>
      <c r="R895" t="s">
        <v>2041</v>
      </c>
      <c r="S895" s="7">
        <f t="shared" si="54"/>
        <v>42170.208333333328</v>
      </c>
      <c r="T895" s="8">
        <f t="shared" si="55"/>
        <v>42174.208333333328</v>
      </c>
    </row>
    <row r="896" spans="1:20" x14ac:dyDescent="0.3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52"/>
        <v>1.8870588235294117</v>
      </c>
      <c r="G896" t="s">
        <v>20</v>
      </c>
      <c r="H896">
        <v>56</v>
      </c>
      <c r="I896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269</v>
      </c>
      <c r="Q896" t="s">
        <v>2040</v>
      </c>
      <c r="R896" t="s">
        <v>2059</v>
      </c>
      <c r="S896" s="7">
        <f t="shared" si="54"/>
        <v>41466.208333333336</v>
      </c>
      <c r="T896" s="8">
        <f t="shared" si="55"/>
        <v>41496.208333333336</v>
      </c>
    </row>
    <row r="897" spans="1:20" ht="31" x14ac:dyDescent="0.3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52"/>
        <v>6.9511889862327911E-2</v>
      </c>
      <c r="G897" t="s">
        <v>14</v>
      </c>
      <c r="H897">
        <v>107</v>
      </c>
      <c r="I897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">
        <v>2038</v>
      </c>
      <c r="R897" t="s">
        <v>2039</v>
      </c>
      <c r="S897" s="7">
        <f t="shared" si="54"/>
        <v>43134.25</v>
      </c>
      <c r="T897" s="8">
        <f t="shared" si="55"/>
        <v>43143.25</v>
      </c>
    </row>
    <row r="898" spans="1:20" ht="31" x14ac:dyDescent="0.3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52"/>
        <v>7.7443434343434348</v>
      </c>
      <c r="G898" t="s">
        <v>20</v>
      </c>
      <c r="H898">
        <v>1460</v>
      </c>
      <c r="I898">
        <f t="shared" si="5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">
        <v>2032</v>
      </c>
      <c r="R898" t="s">
        <v>2033</v>
      </c>
      <c r="S898" s="7">
        <f t="shared" si="54"/>
        <v>40738.208333333336</v>
      </c>
      <c r="T898" s="8">
        <f t="shared" si="55"/>
        <v>40741.208333333336</v>
      </c>
    </row>
    <row r="899" spans="1:20" x14ac:dyDescent="0.3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ref="F899:F962" si="56">E899/D899</f>
        <v>0.27693181818181817</v>
      </c>
      <c r="G899" t="s">
        <v>14</v>
      </c>
      <c r="H899">
        <v>27</v>
      </c>
      <c r="I899">
        <f t="shared" ref="I899:I962" si="57">IFERROR(E899/H899, "0")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">
        <v>2038</v>
      </c>
      <c r="R899" t="s">
        <v>2039</v>
      </c>
      <c r="S899" s="7">
        <f t="shared" ref="S899:S962" si="58">(((L899/60)/60)/24)+DATE(1970,1,1)</f>
        <v>43583.208333333328</v>
      </c>
      <c r="T899" s="8">
        <f t="shared" ref="T899:T962" si="59">(((M899/60)/60)/24)+DATE(1970,1,1)</f>
        <v>43585.208333333328</v>
      </c>
    </row>
    <row r="900" spans="1:20" x14ac:dyDescent="0.3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si="56"/>
        <v>0.52479620323841425</v>
      </c>
      <c r="G900" t="s">
        <v>14</v>
      </c>
      <c r="H900">
        <v>1221</v>
      </c>
      <c r="I900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">
        <v>2040</v>
      </c>
      <c r="R900" t="s">
        <v>2041</v>
      </c>
      <c r="S900" s="7">
        <f t="shared" si="58"/>
        <v>43815.25</v>
      </c>
      <c r="T900" s="8">
        <f t="shared" si="59"/>
        <v>43821.25</v>
      </c>
    </row>
    <row r="901" spans="1:20" x14ac:dyDescent="0.3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56"/>
        <v>4.0709677419354842</v>
      </c>
      <c r="G901" t="s">
        <v>20</v>
      </c>
      <c r="H901">
        <v>123</v>
      </c>
      <c r="I901">
        <f t="shared" si="5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t="b">
        <v>0</v>
      </c>
      <c r="O901" t="b">
        <v>0</v>
      </c>
      <c r="P901" t="s">
        <v>159</v>
      </c>
      <c r="Q901" t="s">
        <v>2034</v>
      </c>
      <c r="R901" t="s">
        <v>2057</v>
      </c>
      <c r="S901" s="7">
        <f t="shared" si="58"/>
        <v>41554.208333333336</v>
      </c>
      <c r="T901" s="8">
        <f t="shared" si="59"/>
        <v>41572.208333333336</v>
      </c>
    </row>
    <row r="902" spans="1:20" x14ac:dyDescent="0.3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56"/>
        <v>0.02</v>
      </c>
      <c r="G902" t="s">
        <v>14</v>
      </c>
      <c r="H902">
        <v>1</v>
      </c>
      <c r="I902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">
        <v>2036</v>
      </c>
      <c r="R902" t="s">
        <v>2037</v>
      </c>
      <c r="S902" s="7">
        <f t="shared" si="58"/>
        <v>41901.208333333336</v>
      </c>
      <c r="T902" s="8">
        <f t="shared" si="59"/>
        <v>41902.208333333336</v>
      </c>
    </row>
    <row r="903" spans="1:20" x14ac:dyDescent="0.3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56"/>
        <v>1.5617857142857143</v>
      </c>
      <c r="G903" t="s">
        <v>20</v>
      </c>
      <c r="H903">
        <v>159</v>
      </c>
      <c r="I903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">
        <v>2034</v>
      </c>
      <c r="R903" t="s">
        <v>2035</v>
      </c>
      <c r="S903" s="7">
        <f t="shared" si="58"/>
        <v>43298.208333333328</v>
      </c>
      <c r="T903" s="8">
        <f t="shared" si="59"/>
        <v>43331.208333333328</v>
      </c>
    </row>
    <row r="904" spans="1:20" x14ac:dyDescent="0.3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56"/>
        <v>2.5242857142857145</v>
      </c>
      <c r="G904" t="s">
        <v>20</v>
      </c>
      <c r="H904">
        <v>110</v>
      </c>
      <c r="I904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">
        <v>2036</v>
      </c>
      <c r="R904" t="s">
        <v>2037</v>
      </c>
      <c r="S904" s="7">
        <f t="shared" si="58"/>
        <v>42399.25</v>
      </c>
      <c r="T904" s="8">
        <f t="shared" si="59"/>
        <v>42441.25</v>
      </c>
    </row>
    <row r="905" spans="1:20" ht="31" x14ac:dyDescent="0.3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56"/>
        <v>1.729268292682927E-2</v>
      </c>
      <c r="G905" t="s">
        <v>47</v>
      </c>
      <c r="H905">
        <v>14</v>
      </c>
      <c r="I905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68</v>
      </c>
      <c r="Q905" t="s">
        <v>2046</v>
      </c>
      <c r="R905" t="s">
        <v>2047</v>
      </c>
      <c r="S905" s="7">
        <f t="shared" si="58"/>
        <v>41034.208333333336</v>
      </c>
      <c r="T905" s="8">
        <f t="shared" si="59"/>
        <v>41049.208333333336</v>
      </c>
    </row>
    <row r="906" spans="1:20" x14ac:dyDescent="0.3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56"/>
        <v>0.12230769230769231</v>
      </c>
      <c r="G906" t="s">
        <v>14</v>
      </c>
      <c r="H906">
        <v>16</v>
      </c>
      <c r="I906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133</v>
      </c>
      <c r="Q906" t="s">
        <v>2046</v>
      </c>
      <c r="R906" t="s">
        <v>2055</v>
      </c>
      <c r="S906" s="7">
        <f t="shared" si="58"/>
        <v>41186.208333333336</v>
      </c>
      <c r="T906" s="8">
        <f t="shared" si="59"/>
        <v>41190.208333333336</v>
      </c>
    </row>
    <row r="907" spans="1:20" x14ac:dyDescent="0.3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56"/>
        <v>1.6398734177215191</v>
      </c>
      <c r="G907" t="s">
        <v>20</v>
      </c>
      <c r="H907">
        <v>236</v>
      </c>
      <c r="I907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">
        <v>2038</v>
      </c>
      <c r="R907" t="s">
        <v>2039</v>
      </c>
      <c r="S907" s="7">
        <f t="shared" si="58"/>
        <v>41536.208333333336</v>
      </c>
      <c r="T907" s="8">
        <f t="shared" si="59"/>
        <v>41539.208333333336</v>
      </c>
    </row>
    <row r="908" spans="1:20" ht="31" x14ac:dyDescent="0.3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56"/>
        <v>1.6298181818181818</v>
      </c>
      <c r="G908" t="s">
        <v>20</v>
      </c>
      <c r="H908">
        <v>191</v>
      </c>
      <c r="I908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">
        <v>2040</v>
      </c>
      <c r="R908" t="s">
        <v>2041</v>
      </c>
      <c r="S908" s="7">
        <f t="shared" si="58"/>
        <v>42868.208333333328</v>
      </c>
      <c r="T908" s="8">
        <f t="shared" si="59"/>
        <v>42904.208333333328</v>
      </c>
    </row>
    <row r="909" spans="1:20" x14ac:dyDescent="0.3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56"/>
        <v>0.20252747252747252</v>
      </c>
      <c r="G909" t="s">
        <v>14</v>
      </c>
      <c r="H909">
        <v>41</v>
      </c>
      <c r="I909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">
        <v>2038</v>
      </c>
      <c r="R909" t="s">
        <v>2039</v>
      </c>
      <c r="S909" s="7">
        <f t="shared" si="58"/>
        <v>40660.208333333336</v>
      </c>
      <c r="T909" s="8">
        <f t="shared" si="59"/>
        <v>40667.208333333336</v>
      </c>
    </row>
    <row r="910" spans="1:20" x14ac:dyDescent="0.3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56"/>
        <v>3.1924083769633507</v>
      </c>
      <c r="G910" t="s">
        <v>20</v>
      </c>
      <c r="H910">
        <v>3934</v>
      </c>
      <c r="I910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89</v>
      </c>
      <c r="Q910" t="s">
        <v>2049</v>
      </c>
      <c r="R910" t="s">
        <v>2050</v>
      </c>
      <c r="S910" s="7">
        <f t="shared" si="58"/>
        <v>41031.208333333336</v>
      </c>
      <c r="T910" s="8">
        <f t="shared" si="59"/>
        <v>41042.208333333336</v>
      </c>
    </row>
    <row r="911" spans="1:20" x14ac:dyDescent="0.3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56"/>
        <v>4.7894444444444444</v>
      </c>
      <c r="G911" t="s">
        <v>20</v>
      </c>
      <c r="H911">
        <v>80</v>
      </c>
      <c r="I911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">
        <v>2038</v>
      </c>
      <c r="R911" t="s">
        <v>2039</v>
      </c>
      <c r="S911" s="7">
        <f t="shared" si="58"/>
        <v>43255.208333333328</v>
      </c>
      <c r="T911" s="8">
        <f t="shared" si="59"/>
        <v>43282.208333333328</v>
      </c>
    </row>
    <row r="912" spans="1:20" x14ac:dyDescent="0.3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56"/>
        <v>0.19556634304207121</v>
      </c>
      <c r="G912" t="s">
        <v>74</v>
      </c>
      <c r="H912">
        <v>296</v>
      </c>
      <c r="I912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">
        <v>2038</v>
      </c>
      <c r="R912" t="s">
        <v>2039</v>
      </c>
      <c r="S912" s="7">
        <f t="shared" si="58"/>
        <v>42026.25</v>
      </c>
      <c r="T912" s="8">
        <f t="shared" si="59"/>
        <v>42027.25</v>
      </c>
    </row>
    <row r="913" spans="1:20" x14ac:dyDescent="0.3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56"/>
        <v>1.9894827586206896</v>
      </c>
      <c r="G913" t="s">
        <v>20</v>
      </c>
      <c r="H913">
        <v>462</v>
      </c>
      <c r="I913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">
        <v>2036</v>
      </c>
      <c r="R913" t="s">
        <v>2037</v>
      </c>
      <c r="S913" s="7">
        <f t="shared" si="58"/>
        <v>43717.208333333328</v>
      </c>
      <c r="T913" s="8">
        <f t="shared" si="59"/>
        <v>43719.208333333328</v>
      </c>
    </row>
    <row r="914" spans="1:20" x14ac:dyDescent="0.3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56"/>
        <v>7.95</v>
      </c>
      <c r="G914" t="s">
        <v>20</v>
      </c>
      <c r="H914">
        <v>179</v>
      </c>
      <c r="I914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">
        <v>2040</v>
      </c>
      <c r="R914" t="s">
        <v>2043</v>
      </c>
      <c r="S914" s="7">
        <f t="shared" si="58"/>
        <v>41157.208333333336</v>
      </c>
      <c r="T914" s="8">
        <f t="shared" si="59"/>
        <v>41170.208333333336</v>
      </c>
    </row>
    <row r="915" spans="1:20" x14ac:dyDescent="0.3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56"/>
        <v>0.50621082621082625</v>
      </c>
      <c r="G915" t="s">
        <v>14</v>
      </c>
      <c r="H915">
        <v>523</v>
      </c>
      <c r="I915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">
        <v>2040</v>
      </c>
      <c r="R915" t="s">
        <v>2043</v>
      </c>
      <c r="S915" s="7">
        <f t="shared" si="58"/>
        <v>43597.208333333328</v>
      </c>
      <c r="T915" s="8">
        <f t="shared" si="59"/>
        <v>43610.208333333328</v>
      </c>
    </row>
    <row r="916" spans="1:20" x14ac:dyDescent="0.3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56"/>
        <v>0.57437499999999997</v>
      </c>
      <c r="G916" t="s">
        <v>14</v>
      </c>
      <c r="H916">
        <v>141</v>
      </c>
      <c r="I916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">
        <v>2038</v>
      </c>
      <c r="R916" t="s">
        <v>2039</v>
      </c>
      <c r="S916" s="7">
        <f t="shared" si="58"/>
        <v>41490.208333333336</v>
      </c>
      <c r="T916" s="8">
        <f t="shared" si="59"/>
        <v>41502.208333333336</v>
      </c>
    </row>
    <row r="917" spans="1:20" x14ac:dyDescent="0.3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56"/>
        <v>1.5562827640984909</v>
      </c>
      <c r="G917" t="s">
        <v>20</v>
      </c>
      <c r="H917">
        <v>1866</v>
      </c>
      <c r="I917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269</v>
      </c>
      <c r="Q917" t="s">
        <v>2040</v>
      </c>
      <c r="R917" t="s">
        <v>2059</v>
      </c>
      <c r="S917" s="7">
        <f t="shared" si="58"/>
        <v>42976.208333333328</v>
      </c>
      <c r="T917" s="8">
        <f t="shared" si="59"/>
        <v>42985.208333333328</v>
      </c>
    </row>
    <row r="918" spans="1:20" ht="31" x14ac:dyDescent="0.3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56"/>
        <v>0.36297297297297298</v>
      </c>
      <c r="G918" t="s">
        <v>14</v>
      </c>
      <c r="H918">
        <v>52</v>
      </c>
      <c r="I918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122</v>
      </c>
      <c r="Q918" t="s">
        <v>2053</v>
      </c>
      <c r="R918" t="s">
        <v>2054</v>
      </c>
      <c r="S918" s="7">
        <f t="shared" si="58"/>
        <v>41991.25</v>
      </c>
      <c r="T918" s="8">
        <f t="shared" si="59"/>
        <v>42000.25</v>
      </c>
    </row>
    <row r="919" spans="1:20" x14ac:dyDescent="0.3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56"/>
        <v>0.58250000000000002</v>
      </c>
      <c r="G919" t="s">
        <v>47</v>
      </c>
      <c r="H919">
        <v>27</v>
      </c>
      <c r="I919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100</v>
      </c>
      <c r="Q919" t="s">
        <v>2040</v>
      </c>
      <c r="R919" t="s">
        <v>2051</v>
      </c>
      <c r="S919" s="7">
        <f t="shared" si="58"/>
        <v>40722.208333333336</v>
      </c>
      <c r="T919" s="8">
        <f t="shared" si="59"/>
        <v>40746.208333333336</v>
      </c>
    </row>
    <row r="920" spans="1:20" x14ac:dyDescent="0.3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56"/>
        <v>2.3739473684210526</v>
      </c>
      <c r="G920" t="s">
        <v>20</v>
      </c>
      <c r="H920">
        <v>156</v>
      </c>
      <c r="I920">
        <f t="shared" si="5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t="b">
        <v>0</v>
      </c>
      <c r="O920" t="b">
        <v>0</v>
      </c>
      <c r="P920" t="s">
        <v>133</v>
      </c>
      <c r="Q920" t="s">
        <v>2046</v>
      </c>
      <c r="R920" t="s">
        <v>2055</v>
      </c>
      <c r="S920" s="7">
        <f t="shared" si="58"/>
        <v>41117.208333333336</v>
      </c>
      <c r="T920" s="8">
        <f t="shared" si="59"/>
        <v>41128.208333333336</v>
      </c>
    </row>
    <row r="921" spans="1:20" x14ac:dyDescent="0.3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56"/>
        <v>0.58750000000000002</v>
      </c>
      <c r="G921" t="s">
        <v>14</v>
      </c>
      <c r="H921">
        <v>225</v>
      </c>
      <c r="I921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">
        <v>2038</v>
      </c>
      <c r="R921" t="s">
        <v>2039</v>
      </c>
      <c r="S921" s="7">
        <f t="shared" si="58"/>
        <v>43022.208333333328</v>
      </c>
      <c r="T921" s="8">
        <f t="shared" si="59"/>
        <v>43054.25</v>
      </c>
    </row>
    <row r="922" spans="1:20" x14ac:dyDescent="0.3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56"/>
        <v>1.8256603773584905</v>
      </c>
      <c r="G922" t="s">
        <v>20</v>
      </c>
      <c r="H922">
        <v>255</v>
      </c>
      <c r="I922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71</v>
      </c>
      <c r="Q922" t="s">
        <v>2040</v>
      </c>
      <c r="R922" t="s">
        <v>2048</v>
      </c>
      <c r="S922" s="7">
        <f t="shared" si="58"/>
        <v>43503.25</v>
      </c>
      <c r="T922" s="8">
        <f t="shared" si="59"/>
        <v>43523.25</v>
      </c>
    </row>
    <row r="923" spans="1:20" x14ac:dyDescent="0.3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56"/>
        <v>7.5436408977556111E-3</v>
      </c>
      <c r="G923" t="s">
        <v>14</v>
      </c>
      <c r="H923">
        <v>38</v>
      </c>
      <c r="I923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">
        <v>2036</v>
      </c>
      <c r="R923" t="s">
        <v>2037</v>
      </c>
      <c r="S923" s="7">
        <f t="shared" si="58"/>
        <v>40951.25</v>
      </c>
      <c r="T923" s="8">
        <f t="shared" si="59"/>
        <v>40965.25</v>
      </c>
    </row>
    <row r="924" spans="1:20" x14ac:dyDescent="0.3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56"/>
        <v>1.7595330739299611</v>
      </c>
      <c r="G924" t="s">
        <v>20</v>
      </c>
      <c r="H924">
        <v>2261</v>
      </c>
      <c r="I924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319</v>
      </c>
      <c r="Q924" t="s">
        <v>2034</v>
      </c>
      <c r="R924" t="s">
        <v>2061</v>
      </c>
      <c r="S924" s="7">
        <f t="shared" si="58"/>
        <v>43443.25</v>
      </c>
      <c r="T924" s="8">
        <f t="shared" si="59"/>
        <v>43452.25</v>
      </c>
    </row>
    <row r="925" spans="1:20" x14ac:dyDescent="0.3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56"/>
        <v>2.3788235294117648</v>
      </c>
      <c r="G925" t="s">
        <v>20</v>
      </c>
      <c r="H925">
        <v>40</v>
      </c>
      <c r="I925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">
        <v>2038</v>
      </c>
      <c r="R925" t="s">
        <v>2039</v>
      </c>
      <c r="S925" s="7">
        <f t="shared" si="58"/>
        <v>40373.208333333336</v>
      </c>
      <c r="T925" s="8">
        <f t="shared" si="59"/>
        <v>40374.208333333336</v>
      </c>
    </row>
    <row r="926" spans="1:20" x14ac:dyDescent="0.3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56"/>
        <v>4.8805076142131982</v>
      </c>
      <c r="G926" t="s">
        <v>20</v>
      </c>
      <c r="H926">
        <v>2289</v>
      </c>
      <c r="I926">
        <f t="shared" si="5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">
        <v>2038</v>
      </c>
      <c r="R926" t="s">
        <v>2039</v>
      </c>
      <c r="S926" s="7">
        <f t="shared" si="58"/>
        <v>43769.208333333328</v>
      </c>
      <c r="T926" s="8">
        <f t="shared" si="59"/>
        <v>43780.25</v>
      </c>
    </row>
    <row r="927" spans="1:20" ht="31" x14ac:dyDescent="0.3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56"/>
        <v>2.2406666666666668</v>
      </c>
      <c r="G927" t="s">
        <v>20</v>
      </c>
      <c r="H927">
        <v>65</v>
      </c>
      <c r="I927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">
        <v>2038</v>
      </c>
      <c r="R927" t="s">
        <v>2039</v>
      </c>
      <c r="S927" s="7">
        <f t="shared" si="58"/>
        <v>43000.208333333328</v>
      </c>
      <c r="T927" s="8">
        <f t="shared" si="59"/>
        <v>43012.208333333328</v>
      </c>
    </row>
    <row r="928" spans="1:20" x14ac:dyDescent="0.3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56"/>
        <v>0.18126436781609195</v>
      </c>
      <c r="G928" t="s">
        <v>14</v>
      </c>
      <c r="H928">
        <v>15</v>
      </c>
      <c r="I928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">
        <v>2032</v>
      </c>
      <c r="R928" t="s">
        <v>2033</v>
      </c>
      <c r="S928" s="7">
        <f t="shared" si="58"/>
        <v>42502.208333333328</v>
      </c>
      <c r="T928" s="8">
        <f t="shared" si="59"/>
        <v>42506.208333333328</v>
      </c>
    </row>
    <row r="929" spans="1:20" x14ac:dyDescent="0.3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56"/>
        <v>0.45847222222222223</v>
      </c>
      <c r="G929" t="s">
        <v>14</v>
      </c>
      <c r="H929">
        <v>37</v>
      </c>
      <c r="I929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">
        <v>2038</v>
      </c>
      <c r="R929" t="s">
        <v>2039</v>
      </c>
      <c r="S929" s="7">
        <f t="shared" si="58"/>
        <v>41102.208333333336</v>
      </c>
      <c r="T929" s="8">
        <f t="shared" si="59"/>
        <v>41131.208333333336</v>
      </c>
    </row>
    <row r="930" spans="1:20" x14ac:dyDescent="0.3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56"/>
        <v>1.1731541218637993</v>
      </c>
      <c r="G930" t="s">
        <v>20</v>
      </c>
      <c r="H930">
        <v>3777</v>
      </c>
      <c r="I930">
        <f t="shared" si="5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">
        <v>2036</v>
      </c>
      <c r="R930" t="s">
        <v>2037</v>
      </c>
      <c r="S930" s="7">
        <f t="shared" si="58"/>
        <v>41637.25</v>
      </c>
      <c r="T930" s="8">
        <f t="shared" si="59"/>
        <v>41646.25</v>
      </c>
    </row>
    <row r="931" spans="1:20" x14ac:dyDescent="0.3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56"/>
        <v>2.173090909090909</v>
      </c>
      <c r="G931" t="s">
        <v>20</v>
      </c>
      <c r="H931">
        <v>184</v>
      </c>
      <c r="I931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">
        <v>2038</v>
      </c>
      <c r="R931" t="s">
        <v>2039</v>
      </c>
      <c r="S931" s="7">
        <f t="shared" si="58"/>
        <v>42858.208333333328</v>
      </c>
      <c r="T931" s="8">
        <f t="shared" si="59"/>
        <v>42872.208333333328</v>
      </c>
    </row>
    <row r="932" spans="1:20" x14ac:dyDescent="0.3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56"/>
        <v>1.1228571428571428</v>
      </c>
      <c r="G932" t="s">
        <v>20</v>
      </c>
      <c r="H932">
        <v>85</v>
      </c>
      <c r="I932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">
        <v>2038</v>
      </c>
      <c r="R932" t="s">
        <v>2039</v>
      </c>
      <c r="S932" s="7">
        <f t="shared" si="58"/>
        <v>42060.25</v>
      </c>
      <c r="T932" s="8">
        <f t="shared" si="59"/>
        <v>42067.25</v>
      </c>
    </row>
    <row r="933" spans="1:20" x14ac:dyDescent="0.3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56"/>
        <v>0.72518987341772156</v>
      </c>
      <c r="G933" t="s">
        <v>14</v>
      </c>
      <c r="H933">
        <v>112</v>
      </c>
      <c r="I933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">
        <v>2038</v>
      </c>
      <c r="R933" t="s">
        <v>2039</v>
      </c>
      <c r="S933" s="7">
        <f t="shared" si="58"/>
        <v>41818.208333333336</v>
      </c>
      <c r="T933" s="8">
        <f t="shared" si="59"/>
        <v>41820.208333333336</v>
      </c>
    </row>
    <row r="934" spans="1:20" x14ac:dyDescent="0.3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56"/>
        <v>2.1230434782608696</v>
      </c>
      <c r="G934" t="s">
        <v>20</v>
      </c>
      <c r="H934">
        <v>144</v>
      </c>
      <c r="I934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">
        <v>2034</v>
      </c>
      <c r="R934" t="s">
        <v>2035</v>
      </c>
      <c r="S934" s="7">
        <f t="shared" si="58"/>
        <v>41709.208333333336</v>
      </c>
      <c r="T934" s="8">
        <f t="shared" si="59"/>
        <v>41712.208333333336</v>
      </c>
    </row>
    <row r="935" spans="1:20" x14ac:dyDescent="0.3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56"/>
        <v>2.3974657534246577</v>
      </c>
      <c r="G935" t="s">
        <v>20</v>
      </c>
      <c r="H935">
        <v>1902</v>
      </c>
      <c r="I935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">
        <v>2038</v>
      </c>
      <c r="R935" t="s">
        <v>2039</v>
      </c>
      <c r="S935" s="7">
        <f t="shared" si="58"/>
        <v>41372.208333333336</v>
      </c>
      <c r="T935" s="8">
        <f t="shared" si="59"/>
        <v>41385.208333333336</v>
      </c>
    </row>
    <row r="936" spans="1:20" x14ac:dyDescent="0.3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56"/>
        <v>1.8193548387096774</v>
      </c>
      <c r="G936" t="s">
        <v>20</v>
      </c>
      <c r="H936">
        <v>105</v>
      </c>
      <c r="I936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">
        <v>2038</v>
      </c>
      <c r="R936" t="s">
        <v>2039</v>
      </c>
      <c r="S936" s="7">
        <f t="shared" si="58"/>
        <v>42422.25</v>
      </c>
      <c r="T936" s="8">
        <f t="shared" si="59"/>
        <v>42428.25</v>
      </c>
    </row>
    <row r="937" spans="1:20" ht="31" x14ac:dyDescent="0.3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56"/>
        <v>1.6413114754098361</v>
      </c>
      <c r="G937" t="s">
        <v>20</v>
      </c>
      <c r="H937">
        <v>132</v>
      </c>
      <c r="I937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">
        <v>2038</v>
      </c>
      <c r="R937" t="s">
        <v>2039</v>
      </c>
      <c r="S937" s="7">
        <f t="shared" si="58"/>
        <v>42209.208333333328</v>
      </c>
      <c r="T937" s="8">
        <f t="shared" si="59"/>
        <v>42216.208333333328</v>
      </c>
    </row>
    <row r="938" spans="1:20" x14ac:dyDescent="0.3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56"/>
        <v>1.6375968992248063E-2</v>
      </c>
      <c r="G938" t="s">
        <v>14</v>
      </c>
      <c r="H938">
        <v>21</v>
      </c>
      <c r="I938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">
        <v>2038</v>
      </c>
      <c r="R938" t="s">
        <v>2039</v>
      </c>
      <c r="S938" s="7">
        <f t="shared" si="58"/>
        <v>43668.208333333328</v>
      </c>
      <c r="T938" s="8">
        <f t="shared" si="59"/>
        <v>43671.208333333328</v>
      </c>
    </row>
    <row r="939" spans="1:20" x14ac:dyDescent="0.3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56"/>
        <v>0.49643859649122807</v>
      </c>
      <c r="G939" t="s">
        <v>74</v>
      </c>
      <c r="H939">
        <v>976</v>
      </c>
      <c r="I939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">
        <v>2040</v>
      </c>
      <c r="R939" t="s">
        <v>2041</v>
      </c>
      <c r="S939" s="7">
        <f t="shared" si="58"/>
        <v>42334.25</v>
      </c>
      <c r="T939" s="8">
        <f t="shared" si="59"/>
        <v>42343.25</v>
      </c>
    </row>
    <row r="940" spans="1:20" x14ac:dyDescent="0.3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56"/>
        <v>1.0970652173913042</v>
      </c>
      <c r="G940" t="s">
        <v>20</v>
      </c>
      <c r="H940">
        <v>96</v>
      </c>
      <c r="I940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119</v>
      </c>
      <c r="Q940" t="s">
        <v>2046</v>
      </c>
      <c r="R940" t="s">
        <v>2052</v>
      </c>
      <c r="S940" s="7">
        <f t="shared" si="58"/>
        <v>43263.208333333328</v>
      </c>
      <c r="T940" s="8">
        <f t="shared" si="59"/>
        <v>43299.208333333328</v>
      </c>
    </row>
    <row r="941" spans="1:20" ht="31" x14ac:dyDescent="0.3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56"/>
        <v>0.49217948717948717</v>
      </c>
      <c r="G941" t="s">
        <v>14</v>
      </c>
      <c r="H941">
        <v>67</v>
      </c>
      <c r="I941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89</v>
      </c>
      <c r="Q941" t="s">
        <v>2049</v>
      </c>
      <c r="R941" t="s">
        <v>2050</v>
      </c>
      <c r="S941" s="7">
        <f t="shared" si="58"/>
        <v>40670.208333333336</v>
      </c>
      <c r="T941" s="8">
        <f t="shared" si="59"/>
        <v>40687.208333333336</v>
      </c>
    </row>
    <row r="942" spans="1:20" x14ac:dyDescent="0.3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56"/>
        <v>0.62232323232323228</v>
      </c>
      <c r="G942" t="s">
        <v>47</v>
      </c>
      <c r="H942">
        <v>66</v>
      </c>
      <c r="I942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">
        <v>2036</v>
      </c>
      <c r="R942" t="s">
        <v>2037</v>
      </c>
      <c r="S942" s="7">
        <f t="shared" si="58"/>
        <v>41244.25</v>
      </c>
      <c r="T942" s="8">
        <f t="shared" si="59"/>
        <v>41266.25</v>
      </c>
    </row>
    <row r="943" spans="1:20" x14ac:dyDescent="0.3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56"/>
        <v>0.1305813953488372</v>
      </c>
      <c r="G943" t="s">
        <v>14</v>
      </c>
      <c r="H943">
        <v>78</v>
      </c>
      <c r="I943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">
        <v>2038</v>
      </c>
      <c r="R943" t="s">
        <v>2039</v>
      </c>
      <c r="S943" s="7">
        <f t="shared" si="58"/>
        <v>40552.25</v>
      </c>
      <c r="T943" s="8">
        <f t="shared" si="59"/>
        <v>40587.25</v>
      </c>
    </row>
    <row r="944" spans="1:20" x14ac:dyDescent="0.3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56"/>
        <v>0.64635416666666667</v>
      </c>
      <c r="G944" t="s">
        <v>14</v>
      </c>
      <c r="H944">
        <v>67</v>
      </c>
      <c r="I944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">
        <v>2038</v>
      </c>
      <c r="R944" t="s">
        <v>2039</v>
      </c>
      <c r="S944" s="7">
        <f t="shared" si="58"/>
        <v>40568.25</v>
      </c>
      <c r="T944" s="8">
        <f t="shared" si="59"/>
        <v>40571.25</v>
      </c>
    </row>
    <row r="945" spans="1:20" x14ac:dyDescent="0.3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56"/>
        <v>1.5958666666666668</v>
      </c>
      <c r="G945" t="s">
        <v>20</v>
      </c>
      <c r="H945">
        <v>114</v>
      </c>
      <c r="I945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">
        <v>2032</v>
      </c>
      <c r="R945" t="s">
        <v>2033</v>
      </c>
      <c r="S945" s="7">
        <f t="shared" si="58"/>
        <v>41906.208333333336</v>
      </c>
      <c r="T945" s="8">
        <f t="shared" si="59"/>
        <v>41941.208333333336</v>
      </c>
    </row>
    <row r="946" spans="1:20" x14ac:dyDescent="0.3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56"/>
        <v>0.81420000000000003</v>
      </c>
      <c r="G946" t="s">
        <v>14</v>
      </c>
      <c r="H946">
        <v>263</v>
      </c>
      <c r="I946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122</v>
      </c>
      <c r="Q946" t="s">
        <v>2053</v>
      </c>
      <c r="R946" t="s">
        <v>2054</v>
      </c>
      <c r="S946" s="7">
        <f t="shared" si="58"/>
        <v>42776.25</v>
      </c>
      <c r="T946" s="8">
        <f t="shared" si="59"/>
        <v>42795.25</v>
      </c>
    </row>
    <row r="947" spans="1:20" x14ac:dyDescent="0.3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56"/>
        <v>0.32444767441860467</v>
      </c>
      <c r="G947" t="s">
        <v>14</v>
      </c>
      <c r="H947">
        <v>1691</v>
      </c>
      <c r="I947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122</v>
      </c>
      <c r="Q947" t="s">
        <v>2053</v>
      </c>
      <c r="R947" t="s">
        <v>2054</v>
      </c>
      <c r="S947" s="7">
        <f t="shared" si="58"/>
        <v>41004.208333333336</v>
      </c>
      <c r="T947" s="8">
        <f t="shared" si="59"/>
        <v>41019.208333333336</v>
      </c>
    </row>
    <row r="948" spans="1:20" ht="31" x14ac:dyDescent="0.3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56"/>
        <v>9.9141184124918666E-2</v>
      </c>
      <c r="G948" t="s">
        <v>14</v>
      </c>
      <c r="H948">
        <v>181</v>
      </c>
      <c r="I948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">
        <v>2038</v>
      </c>
      <c r="R948" t="s">
        <v>2039</v>
      </c>
      <c r="S948" s="7">
        <f t="shared" si="58"/>
        <v>40710.208333333336</v>
      </c>
      <c r="T948" s="8">
        <f t="shared" si="59"/>
        <v>40712.208333333336</v>
      </c>
    </row>
    <row r="949" spans="1:20" x14ac:dyDescent="0.3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56"/>
        <v>0.26694444444444443</v>
      </c>
      <c r="G949" t="s">
        <v>14</v>
      </c>
      <c r="H949">
        <v>13</v>
      </c>
      <c r="I949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">
        <v>2038</v>
      </c>
      <c r="R949" t="s">
        <v>2039</v>
      </c>
      <c r="S949" s="7">
        <f t="shared" si="58"/>
        <v>41908.208333333336</v>
      </c>
      <c r="T949" s="8">
        <f t="shared" si="59"/>
        <v>41915.208333333336</v>
      </c>
    </row>
    <row r="950" spans="1:20" x14ac:dyDescent="0.3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56"/>
        <v>0.62957446808510642</v>
      </c>
      <c r="G950" t="s">
        <v>74</v>
      </c>
      <c r="H950">
        <v>160</v>
      </c>
      <c r="I950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">
        <v>2040</v>
      </c>
      <c r="R950" t="s">
        <v>2041</v>
      </c>
      <c r="S950" s="7">
        <f t="shared" si="58"/>
        <v>41985.25</v>
      </c>
      <c r="T950" s="8">
        <f t="shared" si="59"/>
        <v>41995.25</v>
      </c>
    </row>
    <row r="951" spans="1:20" ht="31" x14ac:dyDescent="0.3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56"/>
        <v>1.6135593220338984</v>
      </c>
      <c r="G951" t="s">
        <v>20</v>
      </c>
      <c r="H951">
        <v>203</v>
      </c>
      <c r="I951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">
        <v>2036</v>
      </c>
      <c r="R951" t="s">
        <v>2037</v>
      </c>
      <c r="S951" s="7">
        <f t="shared" si="58"/>
        <v>42112.208333333328</v>
      </c>
      <c r="T951" s="8">
        <f t="shared" si="59"/>
        <v>42131.208333333328</v>
      </c>
    </row>
    <row r="952" spans="1:20" x14ac:dyDescent="0.3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56"/>
        <v>0.05</v>
      </c>
      <c r="G952" t="s">
        <v>14</v>
      </c>
      <c r="H952">
        <v>1</v>
      </c>
      <c r="I952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">
        <v>2038</v>
      </c>
      <c r="R952" t="s">
        <v>2039</v>
      </c>
      <c r="S952" s="7">
        <f t="shared" si="58"/>
        <v>43571.208333333328</v>
      </c>
      <c r="T952" s="8">
        <f t="shared" si="59"/>
        <v>43576.208333333328</v>
      </c>
    </row>
    <row r="953" spans="1:20" x14ac:dyDescent="0.3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56"/>
        <v>10.969379310344827</v>
      </c>
      <c r="G953" t="s">
        <v>20</v>
      </c>
      <c r="H953">
        <v>1559</v>
      </c>
      <c r="I953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">
        <v>2034</v>
      </c>
      <c r="R953" t="s">
        <v>2035</v>
      </c>
      <c r="S953" s="7">
        <f t="shared" si="58"/>
        <v>42730.25</v>
      </c>
      <c r="T953" s="8">
        <f t="shared" si="59"/>
        <v>42731.25</v>
      </c>
    </row>
    <row r="954" spans="1:20" x14ac:dyDescent="0.3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56"/>
        <v>0.70094158075601376</v>
      </c>
      <c r="G954" t="s">
        <v>74</v>
      </c>
      <c r="H954">
        <v>2266</v>
      </c>
      <c r="I954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">
        <v>2040</v>
      </c>
      <c r="R954" t="s">
        <v>2041</v>
      </c>
      <c r="S954" s="7">
        <f t="shared" si="58"/>
        <v>42591.208333333328</v>
      </c>
      <c r="T954" s="8">
        <f t="shared" si="59"/>
        <v>42605.208333333328</v>
      </c>
    </row>
    <row r="955" spans="1:20" ht="31" x14ac:dyDescent="0.3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56"/>
        <v>0.6</v>
      </c>
      <c r="G955" t="s">
        <v>14</v>
      </c>
      <c r="H955">
        <v>21</v>
      </c>
      <c r="I955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474</v>
      </c>
      <c r="Q955" t="s">
        <v>2040</v>
      </c>
      <c r="R955" t="s">
        <v>2062</v>
      </c>
      <c r="S955" s="7">
        <f t="shared" si="58"/>
        <v>42358.25</v>
      </c>
      <c r="T955" s="8">
        <f t="shared" si="59"/>
        <v>42394.25</v>
      </c>
    </row>
    <row r="956" spans="1:20" x14ac:dyDescent="0.3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56"/>
        <v>3.6709859154929578</v>
      </c>
      <c r="G956" t="s">
        <v>20</v>
      </c>
      <c r="H956">
        <v>1548</v>
      </c>
      <c r="I956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">
        <v>2036</v>
      </c>
      <c r="R956" t="s">
        <v>2037</v>
      </c>
      <c r="S956" s="7">
        <f t="shared" si="58"/>
        <v>41174.208333333336</v>
      </c>
      <c r="T956" s="8">
        <f t="shared" si="59"/>
        <v>41198.208333333336</v>
      </c>
    </row>
    <row r="957" spans="1:20" ht="31" x14ac:dyDescent="0.3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56"/>
        <v>11.09</v>
      </c>
      <c r="G957" t="s">
        <v>20</v>
      </c>
      <c r="H957">
        <v>80</v>
      </c>
      <c r="I957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">
        <v>2038</v>
      </c>
      <c r="R957" t="s">
        <v>2039</v>
      </c>
      <c r="S957" s="7">
        <f t="shared" si="58"/>
        <v>41238.25</v>
      </c>
      <c r="T957" s="8">
        <f t="shared" si="59"/>
        <v>41240.25</v>
      </c>
    </row>
    <row r="958" spans="1:20" x14ac:dyDescent="0.3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56"/>
        <v>0.19028784648187633</v>
      </c>
      <c r="G958" t="s">
        <v>14</v>
      </c>
      <c r="H958">
        <v>830</v>
      </c>
      <c r="I958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474</v>
      </c>
      <c r="Q958" t="s">
        <v>2040</v>
      </c>
      <c r="R958" t="s">
        <v>2062</v>
      </c>
      <c r="S958" s="7">
        <f t="shared" si="58"/>
        <v>42360.25</v>
      </c>
      <c r="T958" s="8">
        <f t="shared" si="59"/>
        <v>42364.25</v>
      </c>
    </row>
    <row r="959" spans="1:20" x14ac:dyDescent="0.3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56"/>
        <v>1.2687755102040816</v>
      </c>
      <c r="G959" t="s">
        <v>20</v>
      </c>
      <c r="H959">
        <v>131</v>
      </c>
      <c r="I959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">
        <v>2038</v>
      </c>
      <c r="R959" t="s">
        <v>2039</v>
      </c>
      <c r="S959" s="7">
        <f t="shared" si="58"/>
        <v>40955.25</v>
      </c>
      <c r="T959" s="8">
        <f t="shared" si="59"/>
        <v>40958.25</v>
      </c>
    </row>
    <row r="960" spans="1:20" ht="31" x14ac:dyDescent="0.3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56"/>
        <v>7.3463636363636367</v>
      </c>
      <c r="G960" t="s">
        <v>20</v>
      </c>
      <c r="H960">
        <v>112</v>
      </c>
      <c r="I960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71</v>
      </c>
      <c r="Q960" t="s">
        <v>2040</v>
      </c>
      <c r="R960" t="s">
        <v>2048</v>
      </c>
      <c r="S960" s="7">
        <f t="shared" si="58"/>
        <v>40350.208333333336</v>
      </c>
      <c r="T960" s="8">
        <f t="shared" si="59"/>
        <v>40372.208333333336</v>
      </c>
    </row>
    <row r="961" spans="1:20" x14ac:dyDescent="0.3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56"/>
        <v>4.5731034482758622E-2</v>
      </c>
      <c r="G961" t="s">
        <v>14</v>
      </c>
      <c r="H961">
        <v>130</v>
      </c>
      <c r="I961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206</v>
      </c>
      <c r="Q961" t="s">
        <v>2046</v>
      </c>
      <c r="R961" t="s">
        <v>2058</v>
      </c>
      <c r="S961" s="7">
        <f t="shared" si="58"/>
        <v>40357.208333333336</v>
      </c>
      <c r="T961" s="8">
        <f t="shared" si="59"/>
        <v>40385.208333333336</v>
      </c>
    </row>
    <row r="962" spans="1:20" x14ac:dyDescent="0.3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56"/>
        <v>0.85054545454545449</v>
      </c>
      <c r="G962" t="s">
        <v>14</v>
      </c>
      <c r="H962">
        <v>55</v>
      </c>
      <c r="I962">
        <f t="shared" si="5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">
        <v>2036</v>
      </c>
      <c r="R962" t="s">
        <v>2037</v>
      </c>
      <c r="S962" s="7">
        <f t="shared" si="58"/>
        <v>42408.25</v>
      </c>
      <c r="T962" s="8">
        <f t="shared" si="59"/>
        <v>42445.208333333328</v>
      </c>
    </row>
    <row r="963" spans="1:20" ht="31" x14ac:dyDescent="0.3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ref="F963:F1001" si="60">E963/D963</f>
        <v>1.1929824561403508</v>
      </c>
      <c r="G963" t="s">
        <v>20</v>
      </c>
      <c r="H963">
        <v>155</v>
      </c>
      <c r="I963">
        <f t="shared" ref="I963:I1001" si="61">IFERROR(E963/H963, "0")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206</v>
      </c>
      <c r="Q963" t="s">
        <v>2046</v>
      </c>
      <c r="R963" t="s">
        <v>2058</v>
      </c>
      <c r="S963" s="7">
        <f t="shared" ref="S963:S1001" si="62">(((L963/60)/60)/24)+DATE(1970,1,1)</f>
        <v>40591.25</v>
      </c>
      <c r="T963" s="8">
        <f t="shared" ref="T963:T1001" si="63">(((M963/60)/60)/24)+DATE(1970,1,1)</f>
        <v>40595.25</v>
      </c>
    </row>
    <row r="964" spans="1:20" x14ac:dyDescent="0.3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si="60"/>
        <v>2.9602777777777778</v>
      </c>
      <c r="G964" t="s">
        <v>20</v>
      </c>
      <c r="H964">
        <v>266</v>
      </c>
      <c r="I964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">
        <v>2032</v>
      </c>
      <c r="R964" t="s">
        <v>2033</v>
      </c>
      <c r="S964" s="7">
        <f t="shared" si="62"/>
        <v>41592.25</v>
      </c>
      <c r="T964" s="8">
        <f t="shared" si="63"/>
        <v>41613.25</v>
      </c>
    </row>
    <row r="965" spans="1:20" x14ac:dyDescent="0.3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60"/>
        <v>0.84694915254237291</v>
      </c>
      <c r="G965" t="s">
        <v>14</v>
      </c>
      <c r="H965">
        <v>114</v>
      </c>
      <c r="I965">
        <f t="shared" si="6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t="b">
        <v>0</v>
      </c>
      <c r="O965" t="b">
        <v>1</v>
      </c>
      <c r="P965" t="s">
        <v>122</v>
      </c>
      <c r="Q965" t="s">
        <v>2053</v>
      </c>
      <c r="R965" t="s">
        <v>2054</v>
      </c>
      <c r="S965" s="7">
        <f t="shared" si="62"/>
        <v>40607.25</v>
      </c>
      <c r="T965" s="8">
        <f t="shared" si="63"/>
        <v>40613.25</v>
      </c>
    </row>
    <row r="966" spans="1:20" x14ac:dyDescent="0.3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60"/>
        <v>3.5578378378378379</v>
      </c>
      <c r="G966" t="s">
        <v>20</v>
      </c>
      <c r="H966">
        <v>155</v>
      </c>
      <c r="I966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">
        <v>2038</v>
      </c>
      <c r="R966" t="s">
        <v>2039</v>
      </c>
      <c r="S966" s="7">
        <f t="shared" si="62"/>
        <v>42135.208333333328</v>
      </c>
      <c r="T966" s="8">
        <f t="shared" si="63"/>
        <v>42140.208333333328</v>
      </c>
    </row>
    <row r="967" spans="1:20" x14ac:dyDescent="0.3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60"/>
        <v>3.8640909090909092</v>
      </c>
      <c r="G967" t="s">
        <v>20</v>
      </c>
      <c r="H967">
        <v>207</v>
      </c>
      <c r="I967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">
        <v>2034</v>
      </c>
      <c r="R967" t="s">
        <v>2035</v>
      </c>
      <c r="S967" s="7">
        <f t="shared" si="62"/>
        <v>40203.25</v>
      </c>
      <c r="T967" s="8">
        <f t="shared" si="63"/>
        <v>40243.25</v>
      </c>
    </row>
    <row r="968" spans="1:20" x14ac:dyDescent="0.3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60"/>
        <v>7.9223529411764702</v>
      </c>
      <c r="G968" t="s">
        <v>20</v>
      </c>
      <c r="H968">
        <v>245</v>
      </c>
      <c r="I968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">
        <v>2038</v>
      </c>
      <c r="R968" t="s">
        <v>2039</v>
      </c>
      <c r="S968" s="7">
        <f t="shared" si="62"/>
        <v>42901.208333333328</v>
      </c>
      <c r="T968" s="8">
        <f t="shared" si="63"/>
        <v>42903.208333333328</v>
      </c>
    </row>
    <row r="969" spans="1:20" x14ac:dyDescent="0.3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60"/>
        <v>1.3703393665158372</v>
      </c>
      <c r="G969" t="s">
        <v>20</v>
      </c>
      <c r="H969">
        <v>1573</v>
      </c>
      <c r="I969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319</v>
      </c>
      <c r="Q969" t="s">
        <v>2034</v>
      </c>
      <c r="R969" t="s">
        <v>2061</v>
      </c>
      <c r="S969" s="7">
        <f t="shared" si="62"/>
        <v>41005.208333333336</v>
      </c>
      <c r="T969" s="8">
        <f t="shared" si="63"/>
        <v>41042.208333333336</v>
      </c>
    </row>
    <row r="970" spans="1:20" ht="31" x14ac:dyDescent="0.3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60"/>
        <v>3.3820833333333336</v>
      </c>
      <c r="G970" t="s">
        <v>20</v>
      </c>
      <c r="H970">
        <v>114</v>
      </c>
      <c r="I970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">
        <v>2032</v>
      </c>
      <c r="R970" t="s">
        <v>2033</v>
      </c>
      <c r="S970" s="7">
        <f t="shared" si="62"/>
        <v>40544.25</v>
      </c>
      <c r="T970" s="8">
        <f t="shared" si="63"/>
        <v>40559.25</v>
      </c>
    </row>
    <row r="971" spans="1:20" x14ac:dyDescent="0.3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60"/>
        <v>1.0822784810126582</v>
      </c>
      <c r="G971" t="s">
        <v>20</v>
      </c>
      <c r="H971">
        <v>93</v>
      </c>
      <c r="I971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">
        <v>2038</v>
      </c>
      <c r="R971" t="s">
        <v>2039</v>
      </c>
      <c r="S971" s="7">
        <f t="shared" si="62"/>
        <v>43821.25</v>
      </c>
      <c r="T971" s="8">
        <f t="shared" si="63"/>
        <v>43828.25</v>
      </c>
    </row>
    <row r="972" spans="1:20" ht="31" x14ac:dyDescent="0.3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60"/>
        <v>0.60757639620653314</v>
      </c>
      <c r="G972" t="s">
        <v>14</v>
      </c>
      <c r="H972">
        <v>594</v>
      </c>
      <c r="I972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">
        <v>2038</v>
      </c>
      <c r="R972" t="s">
        <v>2039</v>
      </c>
      <c r="S972" s="7">
        <f t="shared" si="62"/>
        <v>40672.208333333336</v>
      </c>
      <c r="T972" s="8">
        <f t="shared" si="63"/>
        <v>40673.208333333336</v>
      </c>
    </row>
    <row r="973" spans="1:20" x14ac:dyDescent="0.3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60"/>
        <v>0.27725490196078434</v>
      </c>
      <c r="G973" t="s">
        <v>14</v>
      </c>
      <c r="H973">
        <v>24</v>
      </c>
      <c r="I973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269</v>
      </c>
      <c r="Q973" t="s">
        <v>2040</v>
      </c>
      <c r="R973" t="s">
        <v>2059</v>
      </c>
      <c r="S973" s="7">
        <f t="shared" si="62"/>
        <v>41555.208333333336</v>
      </c>
      <c r="T973" s="8">
        <f t="shared" si="63"/>
        <v>41561.208333333336</v>
      </c>
    </row>
    <row r="974" spans="1:20" ht="31" x14ac:dyDescent="0.3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60"/>
        <v>2.283934426229508</v>
      </c>
      <c r="G974" t="s">
        <v>20</v>
      </c>
      <c r="H974">
        <v>1681</v>
      </c>
      <c r="I974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">
        <v>2036</v>
      </c>
      <c r="R974" t="s">
        <v>2037</v>
      </c>
      <c r="S974" s="7">
        <f t="shared" si="62"/>
        <v>41792.208333333336</v>
      </c>
      <c r="T974" s="8">
        <f t="shared" si="63"/>
        <v>41801.208333333336</v>
      </c>
    </row>
    <row r="975" spans="1:20" x14ac:dyDescent="0.3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60"/>
        <v>0.21615194054500414</v>
      </c>
      <c r="G975" t="s">
        <v>14</v>
      </c>
      <c r="H975">
        <v>252</v>
      </c>
      <c r="I975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">
        <v>2038</v>
      </c>
      <c r="R975" t="s">
        <v>2039</v>
      </c>
      <c r="S975" s="7">
        <f t="shared" si="62"/>
        <v>40522.25</v>
      </c>
      <c r="T975" s="8">
        <f t="shared" si="63"/>
        <v>40524.25</v>
      </c>
    </row>
    <row r="976" spans="1:20" x14ac:dyDescent="0.3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60"/>
        <v>3.73875</v>
      </c>
      <c r="G976" t="s">
        <v>20</v>
      </c>
      <c r="H976">
        <v>32</v>
      </c>
      <c r="I976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60</v>
      </c>
      <c r="Q976" t="s">
        <v>2034</v>
      </c>
      <c r="R976" t="s">
        <v>2044</v>
      </c>
      <c r="S976" s="7">
        <f t="shared" si="62"/>
        <v>41412.208333333336</v>
      </c>
      <c r="T976" s="8">
        <f t="shared" si="63"/>
        <v>41413.208333333336</v>
      </c>
    </row>
    <row r="977" spans="1:20" x14ac:dyDescent="0.3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60"/>
        <v>1.5492592592592593</v>
      </c>
      <c r="G977" t="s">
        <v>20</v>
      </c>
      <c r="H977">
        <v>135</v>
      </c>
      <c r="I977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">
        <v>2038</v>
      </c>
      <c r="R977" t="s">
        <v>2039</v>
      </c>
      <c r="S977" s="7">
        <f t="shared" si="62"/>
        <v>42337.25</v>
      </c>
      <c r="T977" s="8">
        <f t="shared" si="63"/>
        <v>42376.25</v>
      </c>
    </row>
    <row r="978" spans="1:20" ht="31" x14ac:dyDescent="0.3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60"/>
        <v>3.2214999999999998</v>
      </c>
      <c r="G978" t="s">
        <v>20</v>
      </c>
      <c r="H978">
        <v>140</v>
      </c>
      <c r="I978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">
        <v>2038</v>
      </c>
      <c r="R978" t="s">
        <v>2039</v>
      </c>
      <c r="S978" s="7">
        <f t="shared" si="62"/>
        <v>40571.25</v>
      </c>
      <c r="T978" s="8">
        <f t="shared" si="63"/>
        <v>40577.25</v>
      </c>
    </row>
    <row r="979" spans="1:20" x14ac:dyDescent="0.3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60"/>
        <v>0.73957142857142855</v>
      </c>
      <c r="G979" t="s">
        <v>14</v>
      </c>
      <c r="H979">
        <v>67</v>
      </c>
      <c r="I979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">
        <v>2032</v>
      </c>
      <c r="R979" t="s">
        <v>2033</v>
      </c>
      <c r="S979" s="7">
        <f t="shared" si="62"/>
        <v>43138.25</v>
      </c>
      <c r="T979" s="8">
        <f t="shared" si="63"/>
        <v>43170.25</v>
      </c>
    </row>
    <row r="980" spans="1:20" x14ac:dyDescent="0.3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60"/>
        <v>8.641</v>
      </c>
      <c r="G980" t="s">
        <v>20</v>
      </c>
      <c r="H980">
        <v>92</v>
      </c>
      <c r="I980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89</v>
      </c>
      <c r="Q980" t="s">
        <v>2049</v>
      </c>
      <c r="R980" t="s">
        <v>2050</v>
      </c>
      <c r="S980" s="7">
        <f t="shared" si="62"/>
        <v>42686.25</v>
      </c>
      <c r="T980" s="8">
        <f t="shared" si="63"/>
        <v>42708.25</v>
      </c>
    </row>
    <row r="981" spans="1:20" x14ac:dyDescent="0.3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60"/>
        <v>1.432624584717608</v>
      </c>
      <c r="G981" t="s">
        <v>20</v>
      </c>
      <c r="H981">
        <v>1015</v>
      </c>
      <c r="I981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">
        <v>2038</v>
      </c>
      <c r="R981" t="s">
        <v>2039</v>
      </c>
      <c r="S981" s="7">
        <f t="shared" si="62"/>
        <v>42078.208333333328</v>
      </c>
      <c r="T981" s="8">
        <f t="shared" si="63"/>
        <v>42084.208333333328</v>
      </c>
    </row>
    <row r="982" spans="1:20" x14ac:dyDescent="0.3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60"/>
        <v>0.40281762295081969</v>
      </c>
      <c r="G982" t="s">
        <v>14</v>
      </c>
      <c r="H982">
        <v>742</v>
      </c>
      <c r="I982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68</v>
      </c>
      <c r="Q982" t="s">
        <v>2046</v>
      </c>
      <c r="R982" t="s">
        <v>2047</v>
      </c>
      <c r="S982" s="7">
        <f t="shared" si="62"/>
        <v>42307.208333333328</v>
      </c>
      <c r="T982" s="8">
        <f t="shared" si="63"/>
        <v>42312.25</v>
      </c>
    </row>
    <row r="983" spans="1:20" x14ac:dyDescent="0.3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60"/>
        <v>1.7822388059701493</v>
      </c>
      <c r="G983" t="s">
        <v>20</v>
      </c>
      <c r="H983">
        <v>323</v>
      </c>
      <c r="I983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">
        <v>2036</v>
      </c>
      <c r="R983" t="s">
        <v>2037</v>
      </c>
      <c r="S983" s="7">
        <f t="shared" si="62"/>
        <v>43094.25</v>
      </c>
      <c r="T983" s="8">
        <f t="shared" si="63"/>
        <v>43127.25</v>
      </c>
    </row>
    <row r="984" spans="1:20" x14ac:dyDescent="0.3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60"/>
        <v>0.84930555555555554</v>
      </c>
      <c r="G984" t="s">
        <v>14</v>
      </c>
      <c r="H984">
        <v>75</v>
      </c>
      <c r="I984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">
        <v>2040</v>
      </c>
      <c r="R984" t="s">
        <v>2041</v>
      </c>
      <c r="S984" s="7">
        <f t="shared" si="62"/>
        <v>40743.208333333336</v>
      </c>
      <c r="T984" s="8">
        <f t="shared" si="63"/>
        <v>40745.208333333336</v>
      </c>
    </row>
    <row r="985" spans="1:20" x14ac:dyDescent="0.3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60"/>
        <v>1.4593648334624323</v>
      </c>
      <c r="G985" t="s">
        <v>20</v>
      </c>
      <c r="H985">
        <v>2326</v>
      </c>
      <c r="I985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">
        <v>2040</v>
      </c>
      <c r="R985" t="s">
        <v>2041</v>
      </c>
      <c r="S985" s="7">
        <f t="shared" si="62"/>
        <v>43681.208333333328</v>
      </c>
      <c r="T985" s="8">
        <f t="shared" si="63"/>
        <v>43696.208333333328</v>
      </c>
    </row>
    <row r="986" spans="1:20" ht="31" x14ac:dyDescent="0.3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60"/>
        <v>1.5246153846153847</v>
      </c>
      <c r="G986" t="s">
        <v>20</v>
      </c>
      <c r="H986">
        <v>381</v>
      </c>
      <c r="I986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">
        <v>2038</v>
      </c>
      <c r="R986" t="s">
        <v>2039</v>
      </c>
      <c r="S986" s="7">
        <f t="shared" si="62"/>
        <v>43716.208333333328</v>
      </c>
      <c r="T986" s="8">
        <f t="shared" si="63"/>
        <v>43742.208333333328</v>
      </c>
    </row>
    <row r="987" spans="1:20" x14ac:dyDescent="0.3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60"/>
        <v>0.67129542790152408</v>
      </c>
      <c r="G987" t="s">
        <v>14</v>
      </c>
      <c r="H987">
        <v>4405</v>
      </c>
      <c r="I987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">
        <v>2034</v>
      </c>
      <c r="R987" t="s">
        <v>2035</v>
      </c>
      <c r="S987" s="7">
        <f t="shared" si="62"/>
        <v>41614.25</v>
      </c>
      <c r="T987" s="8">
        <f t="shared" si="63"/>
        <v>41640.25</v>
      </c>
    </row>
    <row r="988" spans="1:20" ht="31" x14ac:dyDescent="0.3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60"/>
        <v>0.40307692307692305</v>
      </c>
      <c r="G988" t="s">
        <v>14</v>
      </c>
      <c r="H988">
        <v>92</v>
      </c>
      <c r="I988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">
        <v>2034</v>
      </c>
      <c r="R988" t="s">
        <v>2035</v>
      </c>
      <c r="S988" s="7">
        <f t="shared" si="62"/>
        <v>40638.208333333336</v>
      </c>
      <c r="T988" s="8">
        <f t="shared" si="63"/>
        <v>40652.208333333336</v>
      </c>
    </row>
    <row r="989" spans="1:20" x14ac:dyDescent="0.3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60"/>
        <v>2.1679032258064517</v>
      </c>
      <c r="G989" t="s">
        <v>20</v>
      </c>
      <c r="H989">
        <v>480</v>
      </c>
      <c r="I989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">
        <v>2040</v>
      </c>
      <c r="R989" t="s">
        <v>2041</v>
      </c>
      <c r="S989" s="7">
        <f t="shared" si="62"/>
        <v>42852.208333333328</v>
      </c>
      <c r="T989" s="8">
        <f t="shared" si="63"/>
        <v>42866.208333333328</v>
      </c>
    </row>
    <row r="990" spans="1:20" x14ac:dyDescent="0.3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60"/>
        <v>0.52117021276595743</v>
      </c>
      <c r="G990" t="s">
        <v>14</v>
      </c>
      <c r="H990">
        <v>64</v>
      </c>
      <c r="I990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133</v>
      </c>
      <c r="Q990" t="s">
        <v>2046</v>
      </c>
      <c r="R990" t="s">
        <v>2055</v>
      </c>
      <c r="S990" s="7">
        <f t="shared" si="62"/>
        <v>42686.25</v>
      </c>
      <c r="T990" s="8">
        <f t="shared" si="63"/>
        <v>42707.25</v>
      </c>
    </row>
    <row r="991" spans="1:20" x14ac:dyDescent="0.3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60"/>
        <v>4.9958333333333336</v>
      </c>
      <c r="G991" t="s">
        <v>20</v>
      </c>
      <c r="H991">
        <v>226</v>
      </c>
      <c r="I991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206</v>
      </c>
      <c r="Q991" t="s">
        <v>2046</v>
      </c>
      <c r="R991" t="s">
        <v>2058</v>
      </c>
      <c r="S991" s="7">
        <f t="shared" si="62"/>
        <v>43571.208333333328</v>
      </c>
      <c r="T991" s="8">
        <f t="shared" si="63"/>
        <v>43576.208333333328</v>
      </c>
    </row>
    <row r="992" spans="1:20" x14ac:dyDescent="0.3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60"/>
        <v>0.87679487179487181</v>
      </c>
      <c r="G992" t="s">
        <v>14</v>
      </c>
      <c r="H992">
        <v>64</v>
      </c>
      <c r="I992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">
        <v>2040</v>
      </c>
      <c r="R992" t="s">
        <v>2043</v>
      </c>
      <c r="S992" s="7">
        <f t="shared" si="62"/>
        <v>42432.25</v>
      </c>
      <c r="T992" s="8">
        <f t="shared" si="63"/>
        <v>42454.208333333328</v>
      </c>
    </row>
    <row r="993" spans="1:20" x14ac:dyDescent="0.3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60"/>
        <v>1.131734693877551</v>
      </c>
      <c r="G993" t="s">
        <v>20</v>
      </c>
      <c r="H993">
        <v>241</v>
      </c>
      <c r="I993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">
        <v>2034</v>
      </c>
      <c r="R993" t="s">
        <v>2035</v>
      </c>
      <c r="S993" s="7">
        <f t="shared" si="62"/>
        <v>41907.208333333336</v>
      </c>
      <c r="T993" s="8">
        <f t="shared" si="63"/>
        <v>41911.208333333336</v>
      </c>
    </row>
    <row r="994" spans="1:20" x14ac:dyDescent="0.3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60"/>
        <v>4.2654838709677421</v>
      </c>
      <c r="G994" t="s">
        <v>20</v>
      </c>
      <c r="H994">
        <v>132</v>
      </c>
      <c r="I994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">
        <v>2040</v>
      </c>
      <c r="R994" t="s">
        <v>2043</v>
      </c>
      <c r="S994" s="7">
        <f t="shared" si="62"/>
        <v>43227.208333333328</v>
      </c>
      <c r="T994" s="8">
        <f t="shared" si="63"/>
        <v>43241.208333333328</v>
      </c>
    </row>
    <row r="995" spans="1:20" x14ac:dyDescent="0.3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60"/>
        <v>0.77632653061224488</v>
      </c>
      <c r="G995" t="s">
        <v>74</v>
      </c>
      <c r="H995">
        <v>75</v>
      </c>
      <c r="I995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t="b">
        <v>0</v>
      </c>
      <c r="O995" t="b">
        <v>1</v>
      </c>
      <c r="P995" t="s">
        <v>122</v>
      </c>
      <c r="Q995" t="s">
        <v>2053</v>
      </c>
      <c r="R995" t="s">
        <v>2054</v>
      </c>
      <c r="S995" s="7">
        <f t="shared" si="62"/>
        <v>42362.25</v>
      </c>
      <c r="T995" s="8">
        <f t="shared" si="63"/>
        <v>42379.25</v>
      </c>
    </row>
    <row r="996" spans="1:20" x14ac:dyDescent="0.3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60"/>
        <v>0.52496810772501767</v>
      </c>
      <c r="G996" t="s">
        <v>14</v>
      </c>
      <c r="H996">
        <v>842</v>
      </c>
      <c r="I996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206</v>
      </c>
      <c r="Q996" t="s">
        <v>2046</v>
      </c>
      <c r="R996" t="s">
        <v>2058</v>
      </c>
      <c r="S996" s="7">
        <f t="shared" si="62"/>
        <v>41929.208333333336</v>
      </c>
      <c r="T996" s="8">
        <f t="shared" si="63"/>
        <v>41935.208333333336</v>
      </c>
    </row>
    <row r="997" spans="1:20" x14ac:dyDescent="0.3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60"/>
        <v>1.5746762589928058</v>
      </c>
      <c r="G997" t="s">
        <v>20</v>
      </c>
      <c r="H997">
        <v>2043</v>
      </c>
      <c r="I997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">
        <v>2032</v>
      </c>
      <c r="R997" t="s">
        <v>2033</v>
      </c>
      <c r="S997" s="7">
        <f t="shared" si="62"/>
        <v>43408.208333333328</v>
      </c>
      <c r="T997" s="8">
        <f t="shared" si="63"/>
        <v>43437.25</v>
      </c>
    </row>
    <row r="998" spans="1:20" ht="31" x14ac:dyDescent="0.3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60"/>
        <v>0.72939393939393937</v>
      </c>
      <c r="G998" t="s">
        <v>14</v>
      </c>
      <c r="H998">
        <v>112</v>
      </c>
      <c r="I998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">
        <v>2038</v>
      </c>
      <c r="R998" t="s">
        <v>2039</v>
      </c>
      <c r="S998" s="7">
        <f t="shared" si="62"/>
        <v>41276.25</v>
      </c>
      <c r="T998" s="8">
        <f t="shared" si="63"/>
        <v>41306.25</v>
      </c>
    </row>
    <row r="999" spans="1:20" x14ac:dyDescent="0.3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60"/>
        <v>0.60565789473684206</v>
      </c>
      <c r="G999" t="s">
        <v>74</v>
      </c>
      <c r="H999">
        <v>139</v>
      </c>
      <c r="I999">
        <f t="shared" si="6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">
        <v>2038</v>
      </c>
      <c r="R999" t="s">
        <v>2039</v>
      </c>
      <c r="S999" s="7">
        <f t="shared" si="62"/>
        <v>41659.25</v>
      </c>
      <c r="T999" s="8">
        <f t="shared" si="63"/>
        <v>41664.25</v>
      </c>
    </row>
    <row r="1000" spans="1:20" x14ac:dyDescent="0.3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60"/>
        <v>0.5679129129129129</v>
      </c>
      <c r="G1000" t="s">
        <v>14</v>
      </c>
      <c r="H1000">
        <v>374</v>
      </c>
      <c r="I1000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60</v>
      </c>
      <c r="Q1000" t="s">
        <v>2034</v>
      </c>
      <c r="R1000" t="s">
        <v>2044</v>
      </c>
      <c r="S1000" s="7">
        <f t="shared" si="62"/>
        <v>40220.25</v>
      </c>
      <c r="T1000" s="8">
        <f t="shared" si="63"/>
        <v>40234.25</v>
      </c>
    </row>
    <row r="1001" spans="1:20" x14ac:dyDescent="0.3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60"/>
        <v>0.56542754275427543</v>
      </c>
      <c r="G1001" t="s">
        <v>74</v>
      </c>
      <c r="H1001">
        <v>1122</v>
      </c>
      <c r="I1001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">
        <v>2032</v>
      </c>
      <c r="R1001" t="s">
        <v>2033</v>
      </c>
      <c r="S1001" s="7">
        <f t="shared" si="62"/>
        <v>42550.208333333328</v>
      </c>
      <c r="T1001" s="8">
        <f t="shared" si="63"/>
        <v>42557.208333333328</v>
      </c>
    </row>
  </sheetData>
  <conditionalFormatting sqref="G2:G1001">
    <cfRule type="expression" dxfId="7" priority="5">
      <formula>$G2="live"</formula>
    </cfRule>
    <cfRule type="expression" dxfId="6" priority="6">
      <formula>$G2="canceled"</formula>
    </cfRule>
    <cfRule type="expression" dxfId="5" priority="7">
      <formula>$G2="failed"</formula>
    </cfRule>
    <cfRule type="expression" dxfId="4" priority="8">
      <formula>$G2="successful"</formula>
    </cfRule>
  </conditionalFormatting>
  <conditionalFormatting sqref="F2:F1001">
    <cfRule type="colorScale" priority="1">
      <colorScale>
        <cfvo type="num" val="0"/>
        <cfvo type="num" val="1"/>
        <cfvo type="num" val="2"/>
        <color rgb="FFC00000"/>
        <color theme="9"/>
        <color rgb="FF002060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5FF1E-A4E5-4467-A057-F489EBE77C5C}">
  <sheetPr codeName="Sheet3"/>
  <dimension ref="A1:F14"/>
  <sheetViews>
    <sheetView tabSelected="1" workbookViewId="0">
      <selection activeCell="E20" sqref="E20"/>
    </sheetView>
  </sheetViews>
  <sheetFormatPr defaultRowHeight="15.5" x14ac:dyDescent="0.35"/>
  <cols>
    <col min="1" max="1" width="16.25" bestFit="1" customWidth="1"/>
    <col min="2" max="2" width="8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  <col min="7" max="7" width="11.5" bestFit="1" customWidth="1"/>
    <col min="8" max="8" width="9.4140625" bestFit="1" customWidth="1"/>
    <col min="9" max="9" width="9.9140625" bestFit="1" customWidth="1"/>
    <col min="10" max="10" width="6.9140625" bestFit="1" customWidth="1"/>
    <col min="11" max="11" width="10.58203125" bestFit="1" customWidth="1"/>
  </cols>
  <sheetData>
    <row r="1" spans="1:6" x14ac:dyDescent="0.35">
      <c r="A1" s="5" t="s">
        <v>6</v>
      </c>
      <c r="B1" t="s">
        <v>2073</v>
      </c>
    </row>
    <row r="3" spans="1:6" x14ac:dyDescent="0.35">
      <c r="A3" s="5" t="s">
        <v>2072</v>
      </c>
      <c r="B3" s="5" t="s">
        <v>2071</v>
      </c>
    </row>
    <row r="4" spans="1:6" x14ac:dyDescent="0.35">
      <c r="A4" s="5" t="s">
        <v>2070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35">
      <c r="A5" s="6" t="s">
        <v>2040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5">
      <c r="A6" s="6" t="s">
        <v>2032</v>
      </c>
      <c r="B6">
        <v>4</v>
      </c>
      <c r="C6">
        <v>20</v>
      </c>
      <c r="D6">
        <v>0</v>
      </c>
      <c r="E6">
        <v>22</v>
      </c>
      <c r="F6">
        <v>46</v>
      </c>
    </row>
    <row r="7" spans="1:6" x14ac:dyDescent="0.35">
      <c r="A7" s="6" t="s">
        <v>2049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5">
      <c r="A8" s="6" t="s">
        <v>2063</v>
      </c>
      <c r="B8">
        <v>0</v>
      </c>
      <c r="C8">
        <v>0</v>
      </c>
      <c r="D8">
        <v>0</v>
      </c>
      <c r="E8">
        <v>4</v>
      </c>
      <c r="F8">
        <v>4</v>
      </c>
    </row>
    <row r="9" spans="1:6" x14ac:dyDescent="0.35">
      <c r="A9" s="6" t="s">
        <v>2034</v>
      </c>
      <c r="B9">
        <v>10</v>
      </c>
      <c r="C9">
        <v>66</v>
      </c>
      <c r="D9">
        <v>0</v>
      </c>
      <c r="E9">
        <v>99</v>
      </c>
      <c r="F9">
        <v>175</v>
      </c>
    </row>
    <row r="10" spans="1:6" x14ac:dyDescent="0.35">
      <c r="A10" s="6" t="s">
        <v>2053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5">
      <c r="A11" s="6" t="s">
        <v>2046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5">
      <c r="A12" s="6" t="s">
        <v>2036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5">
      <c r="A13" s="6" t="s">
        <v>2038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5">
      <c r="A14" s="6" t="s">
        <v>2067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65B78-B002-4093-973B-DFA05A748107}">
  <sheetPr codeName="Sheet4"/>
  <dimension ref="A1:F30"/>
  <sheetViews>
    <sheetView workbookViewId="0">
      <selection activeCell="Q24" sqref="Q24"/>
    </sheetView>
  </sheetViews>
  <sheetFormatPr defaultRowHeight="15.5" x14ac:dyDescent="0.35"/>
  <cols>
    <col min="1" max="1" width="16.91406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7" width="10.58203125" bestFit="1" customWidth="1"/>
  </cols>
  <sheetData>
    <row r="1" spans="1:6" x14ac:dyDescent="0.35">
      <c r="A1" s="5" t="s">
        <v>6</v>
      </c>
      <c r="B1" t="s">
        <v>2073</v>
      </c>
    </row>
    <row r="2" spans="1:6" x14ac:dyDescent="0.35">
      <c r="A2" s="5" t="s">
        <v>2065</v>
      </c>
      <c r="B2" t="s">
        <v>2073</v>
      </c>
    </row>
    <row r="4" spans="1:6" x14ac:dyDescent="0.35">
      <c r="A4" s="5" t="s">
        <v>2069</v>
      </c>
      <c r="B4" s="5" t="s">
        <v>2068</v>
      </c>
    </row>
    <row r="5" spans="1:6" x14ac:dyDescent="0.35">
      <c r="A5" s="5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6" t="s">
        <v>2048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5">
      <c r="A7" s="6" t="s">
        <v>2064</v>
      </c>
      <c r="B7">
        <v>0</v>
      </c>
      <c r="C7">
        <v>0</v>
      </c>
      <c r="D7">
        <v>0</v>
      </c>
      <c r="E7">
        <v>4</v>
      </c>
      <c r="F7">
        <v>4</v>
      </c>
    </row>
    <row r="8" spans="1:6" x14ac:dyDescent="0.35">
      <c r="A8" s="6" t="s">
        <v>2041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5">
      <c r="A9" s="6" t="s">
        <v>2043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5">
      <c r="A10" s="6" t="s">
        <v>2042</v>
      </c>
      <c r="B10">
        <v>0</v>
      </c>
      <c r="C10">
        <v>8</v>
      </c>
      <c r="D10">
        <v>0</v>
      </c>
      <c r="E10">
        <v>10</v>
      </c>
      <c r="F10">
        <v>18</v>
      </c>
    </row>
    <row r="11" spans="1:6" x14ac:dyDescent="0.35">
      <c r="A11" s="6" t="s">
        <v>2052</v>
      </c>
      <c r="B11">
        <v>1</v>
      </c>
      <c r="C11">
        <v>7</v>
      </c>
      <c r="D11">
        <v>0</v>
      </c>
      <c r="E11">
        <v>9</v>
      </c>
      <c r="F11">
        <v>17</v>
      </c>
    </row>
    <row r="12" spans="1:6" x14ac:dyDescent="0.35">
      <c r="A12" s="6" t="s">
        <v>2033</v>
      </c>
      <c r="B12">
        <v>4</v>
      </c>
      <c r="C12">
        <v>20</v>
      </c>
      <c r="D12">
        <v>0</v>
      </c>
      <c r="E12">
        <v>22</v>
      </c>
      <c r="F12">
        <v>46</v>
      </c>
    </row>
    <row r="13" spans="1:6" x14ac:dyDescent="0.35">
      <c r="A13" s="6" t="s">
        <v>2044</v>
      </c>
      <c r="B13">
        <v>3</v>
      </c>
      <c r="C13">
        <v>19</v>
      </c>
      <c r="D13">
        <v>0</v>
      </c>
      <c r="E13">
        <v>23</v>
      </c>
      <c r="F13">
        <v>45</v>
      </c>
    </row>
    <row r="14" spans="1:6" x14ac:dyDescent="0.35">
      <c r="A14" s="6" t="s">
        <v>2057</v>
      </c>
      <c r="B14">
        <v>1</v>
      </c>
      <c r="C14">
        <v>6</v>
      </c>
      <c r="D14">
        <v>0</v>
      </c>
      <c r="E14">
        <v>10</v>
      </c>
      <c r="F14">
        <v>17</v>
      </c>
    </row>
    <row r="15" spans="1:6" x14ac:dyDescent="0.35">
      <c r="A15" s="6" t="s">
        <v>2056</v>
      </c>
      <c r="B15">
        <v>0</v>
      </c>
      <c r="C15">
        <v>3</v>
      </c>
      <c r="D15">
        <v>0</v>
      </c>
      <c r="E15">
        <v>4</v>
      </c>
      <c r="F15">
        <v>7</v>
      </c>
    </row>
    <row r="16" spans="1:6" x14ac:dyDescent="0.35">
      <c r="A16" s="6" t="s">
        <v>2060</v>
      </c>
      <c r="B16">
        <v>0</v>
      </c>
      <c r="C16">
        <v>8</v>
      </c>
      <c r="D16">
        <v>1</v>
      </c>
      <c r="E16">
        <v>4</v>
      </c>
      <c r="F16">
        <v>13</v>
      </c>
    </row>
    <row r="17" spans="1:6" x14ac:dyDescent="0.35">
      <c r="A17" s="6" t="s">
        <v>2047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35">
      <c r="A18" s="6" t="s">
        <v>2054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35">
      <c r="A19" s="6" t="s">
        <v>2039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35">
      <c r="A20" s="6" t="s">
        <v>2055</v>
      </c>
      <c r="B20">
        <v>0</v>
      </c>
      <c r="C20">
        <v>4</v>
      </c>
      <c r="D20">
        <v>0</v>
      </c>
      <c r="E20">
        <v>4</v>
      </c>
      <c r="F20">
        <v>8</v>
      </c>
    </row>
    <row r="21" spans="1:6" x14ac:dyDescent="0.35">
      <c r="A21" s="6" t="s">
        <v>2035</v>
      </c>
      <c r="B21">
        <v>6</v>
      </c>
      <c r="C21">
        <v>30</v>
      </c>
      <c r="D21">
        <v>0</v>
      </c>
      <c r="E21">
        <v>49</v>
      </c>
      <c r="F21">
        <v>85</v>
      </c>
    </row>
    <row r="22" spans="1:6" x14ac:dyDescent="0.35">
      <c r="A22" s="6" t="s">
        <v>2062</v>
      </c>
      <c r="B22">
        <v>0</v>
      </c>
      <c r="C22">
        <v>9</v>
      </c>
      <c r="D22">
        <v>0</v>
      </c>
      <c r="E22">
        <v>5</v>
      </c>
      <c r="F22">
        <v>14</v>
      </c>
    </row>
    <row r="23" spans="1:6" x14ac:dyDescent="0.35">
      <c r="A23" s="6" t="s">
        <v>2051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35">
      <c r="A24" s="6" t="s">
        <v>2059</v>
      </c>
      <c r="B24">
        <v>3</v>
      </c>
      <c r="C24">
        <v>3</v>
      </c>
      <c r="D24">
        <v>0</v>
      </c>
      <c r="E24">
        <v>11</v>
      </c>
      <c r="F24">
        <v>17</v>
      </c>
    </row>
    <row r="25" spans="1:6" x14ac:dyDescent="0.35">
      <c r="A25" s="6" t="s">
        <v>2058</v>
      </c>
      <c r="B25">
        <v>0</v>
      </c>
      <c r="C25">
        <v>7</v>
      </c>
      <c r="D25">
        <v>0</v>
      </c>
      <c r="E25">
        <v>14</v>
      </c>
      <c r="F25">
        <v>21</v>
      </c>
    </row>
    <row r="26" spans="1:6" x14ac:dyDescent="0.35">
      <c r="A26" s="6" t="s">
        <v>2050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35">
      <c r="A27" s="6" t="s">
        <v>2045</v>
      </c>
      <c r="B27">
        <v>0</v>
      </c>
      <c r="C27">
        <v>16</v>
      </c>
      <c r="D27">
        <v>1</v>
      </c>
      <c r="E27">
        <v>28</v>
      </c>
      <c r="F27">
        <v>45</v>
      </c>
    </row>
    <row r="28" spans="1:6" x14ac:dyDescent="0.35">
      <c r="A28" s="6" t="s">
        <v>2037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35">
      <c r="A29" s="6" t="s">
        <v>2061</v>
      </c>
      <c r="B29">
        <v>0</v>
      </c>
      <c r="C29">
        <v>0</v>
      </c>
      <c r="D29">
        <v>0</v>
      </c>
      <c r="E29">
        <v>3</v>
      </c>
      <c r="F29">
        <v>3</v>
      </c>
    </row>
    <row r="30" spans="1:6" x14ac:dyDescent="0.35">
      <c r="A30" s="6" t="s">
        <v>2067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31619-463E-4915-8D87-90C9888E4D6D}">
  <sheetPr codeName="Sheet5"/>
  <dimension ref="A1:F22"/>
  <sheetViews>
    <sheetView workbookViewId="0">
      <selection activeCell="B2" sqref="B2 B6:F21"/>
    </sheetView>
  </sheetViews>
  <sheetFormatPr defaultRowHeight="15.5" x14ac:dyDescent="0.35"/>
  <cols>
    <col min="1" max="1" width="16" bestFit="1" customWidth="1"/>
    <col min="2" max="2" width="8.08203125" bestFit="1" customWidth="1"/>
    <col min="3" max="3" width="5.5" bestFit="1" customWidth="1"/>
    <col min="4" max="4" width="3.6640625" bestFit="1" customWidth="1"/>
    <col min="5" max="5" width="9.25" bestFit="1" customWidth="1"/>
    <col min="6" max="7" width="10.58203125" bestFit="1" customWidth="1"/>
  </cols>
  <sheetData>
    <row r="1" spans="1:6" x14ac:dyDescent="0.35">
      <c r="A1" s="5" t="s">
        <v>2065</v>
      </c>
      <c r="B1" t="s">
        <v>2073</v>
      </c>
    </row>
    <row r="2" spans="1:6" x14ac:dyDescent="0.35">
      <c r="A2" s="5" t="s">
        <v>2092</v>
      </c>
      <c r="B2" t="s">
        <v>2073</v>
      </c>
    </row>
    <row r="4" spans="1:6" x14ac:dyDescent="0.35">
      <c r="A4" s="5" t="s">
        <v>2069</v>
      </c>
      <c r="B4" s="5" t="s">
        <v>2071</v>
      </c>
    </row>
    <row r="5" spans="1:6" x14ac:dyDescent="0.35">
      <c r="A5" s="5" t="s">
        <v>2093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6" t="s">
        <v>2076</v>
      </c>
      <c r="B6">
        <v>17</v>
      </c>
      <c r="C6">
        <v>97</v>
      </c>
      <c r="D6">
        <v>1</v>
      </c>
      <c r="E6">
        <v>142</v>
      </c>
      <c r="F6">
        <v>257</v>
      </c>
    </row>
    <row r="7" spans="1:6" x14ac:dyDescent="0.35">
      <c r="A7" s="9" t="s">
        <v>2077</v>
      </c>
      <c r="B7">
        <v>6</v>
      </c>
      <c r="C7">
        <v>36</v>
      </c>
      <c r="D7">
        <v>1</v>
      </c>
      <c r="E7">
        <v>49</v>
      </c>
      <c r="F7">
        <v>92</v>
      </c>
    </row>
    <row r="8" spans="1:6" x14ac:dyDescent="0.35">
      <c r="A8" s="9" t="s">
        <v>2078</v>
      </c>
      <c r="B8">
        <v>7</v>
      </c>
      <c r="C8">
        <v>28</v>
      </c>
      <c r="D8">
        <v>0</v>
      </c>
      <c r="E8">
        <v>44</v>
      </c>
      <c r="F8">
        <v>79</v>
      </c>
    </row>
    <row r="9" spans="1:6" x14ac:dyDescent="0.35">
      <c r="A9" s="9" t="s">
        <v>2079</v>
      </c>
      <c r="B9">
        <v>4</v>
      </c>
      <c r="C9">
        <v>33</v>
      </c>
      <c r="D9">
        <v>0</v>
      </c>
      <c r="E9">
        <v>49</v>
      </c>
      <c r="F9">
        <v>86</v>
      </c>
    </row>
    <row r="10" spans="1:6" x14ac:dyDescent="0.35">
      <c r="A10" s="6" t="s">
        <v>2080</v>
      </c>
      <c r="B10">
        <v>7</v>
      </c>
      <c r="C10">
        <v>93</v>
      </c>
      <c r="D10">
        <v>4</v>
      </c>
      <c r="E10">
        <v>147</v>
      </c>
      <c r="F10">
        <v>251</v>
      </c>
    </row>
    <row r="11" spans="1:6" x14ac:dyDescent="0.35">
      <c r="A11" s="9" t="s">
        <v>2081</v>
      </c>
      <c r="B11">
        <v>1</v>
      </c>
      <c r="C11">
        <v>30</v>
      </c>
      <c r="D11">
        <v>1</v>
      </c>
      <c r="E11">
        <v>46</v>
      </c>
      <c r="F11">
        <v>78</v>
      </c>
    </row>
    <row r="12" spans="1:6" x14ac:dyDescent="0.35">
      <c r="A12" s="9" t="s">
        <v>2082</v>
      </c>
      <c r="B12">
        <v>3</v>
      </c>
      <c r="C12">
        <v>35</v>
      </c>
      <c r="D12">
        <v>2</v>
      </c>
      <c r="E12">
        <v>46</v>
      </c>
      <c r="F12">
        <v>86</v>
      </c>
    </row>
    <row r="13" spans="1:6" x14ac:dyDescent="0.35">
      <c r="A13" s="9" t="s">
        <v>2083</v>
      </c>
      <c r="B13">
        <v>3</v>
      </c>
      <c r="C13">
        <v>28</v>
      </c>
      <c r="D13">
        <v>1</v>
      </c>
      <c r="E13">
        <v>55</v>
      </c>
      <c r="F13">
        <v>87</v>
      </c>
    </row>
    <row r="14" spans="1:6" x14ac:dyDescent="0.35">
      <c r="A14" s="6" t="s">
        <v>2084</v>
      </c>
      <c r="B14">
        <v>17</v>
      </c>
      <c r="C14">
        <v>89</v>
      </c>
      <c r="D14">
        <v>2</v>
      </c>
      <c r="E14">
        <v>144</v>
      </c>
      <c r="F14">
        <v>252</v>
      </c>
    </row>
    <row r="15" spans="1:6" x14ac:dyDescent="0.35">
      <c r="A15" s="9" t="s">
        <v>2085</v>
      </c>
      <c r="B15">
        <v>4</v>
      </c>
      <c r="C15">
        <v>31</v>
      </c>
      <c r="D15">
        <v>1</v>
      </c>
      <c r="E15">
        <v>58</v>
      </c>
      <c r="F15">
        <v>94</v>
      </c>
    </row>
    <row r="16" spans="1:6" x14ac:dyDescent="0.35">
      <c r="A16" s="9" t="s">
        <v>2086</v>
      </c>
      <c r="B16">
        <v>8</v>
      </c>
      <c r="C16">
        <v>35</v>
      </c>
      <c r="D16">
        <v>1</v>
      </c>
      <c r="E16">
        <v>41</v>
      </c>
      <c r="F16">
        <v>85</v>
      </c>
    </row>
    <row r="17" spans="1:6" x14ac:dyDescent="0.35">
      <c r="A17" s="9" t="s">
        <v>2087</v>
      </c>
      <c r="B17">
        <v>5</v>
      </c>
      <c r="C17">
        <v>23</v>
      </c>
      <c r="D17">
        <v>0</v>
      </c>
      <c r="E17">
        <v>45</v>
      </c>
      <c r="F17">
        <v>73</v>
      </c>
    </row>
    <row r="18" spans="1:6" x14ac:dyDescent="0.35">
      <c r="A18" s="6" t="s">
        <v>2088</v>
      </c>
      <c r="B18">
        <v>16</v>
      </c>
      <c r="C18">
        <v>85</v>
      </c>
      <c r="D18">
        <v>7</v>
      </c>
      <c r="E18">
        <v>132</v>
      </c>
      <c r="F18">
        <v>240</v>
      </c>
    </row>
    <row r="19" spans="1:6" x14ac:dyDescent="0.35">
      <c r="A19" s="9" t="s">
        <v>2089</v>
      </c>
      <c r="B19">
        <v>6</v>
      </c>
      <c r="C19">
        <v>26</v>
      </c>
      <c r="D19">
        <v>1</v>
      </c>
      <c r="E19">
        <v>45</v>
      </c>
      <c r="F19">
        <v>78</v>
      </c>
    </row>
    <row r="20" spans="1:6" x14ac:dyDescent="0.35">
      <c r="A20" s="9" t="s">
        <v>2090</v>
      </c>
      <c r="B20">
        <v>3</v>
      </c>
      <c r="C20">
        <v>27</v>
      </c>
      <c r="D20">
        <v>3</v>
      </c>
      <c r="E20">
        <v>45</v>
      </c>
      <c r="F20">
        <v>78</v>
      </c>
    </row>
    <row r="21" spans="1:6" x14ac:dyDescent="0.35">
      <c r="A21" s="9" t="s">
        <v>2091</v>
      </c>
      <c r="B21">
        <v>7</v>
      </c>
      <c r="C21">
        <v>32</v>
      </c>
      <c r="D21">
        <v>3</v>
      </c>
      <c r="E21">
        <v>42</v>
      </c>
      <c r="F21">
        <v>84</v>
      </c>
    </row>
    <row r="22" spans="1:6" x14ac:dyDescent="0.35">
      <c r="A22" s="6" t="s">
        <v>2067</v>
      </c>
      <c r="B22">
        <v>57</v>
      </c>
      <c r="C22">
        <v>364</v>
      </c>
      <c r="D22">
        <v>14</v>
      </c>
      <c r="E22">
        <v>565</v>
      </c>
      <c r="F22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8DB9F-547D-44DA-A309-ADF0C7E1A39B}">
  <sheetPr codeName="Sheet6"/>
  <dimension ref="A1:H13"/>
  <sheetViews>
    <sheetView workbookViewId="0">
      <selection activeCell="H32" sqref="H32"/>
    </sheetView>
  </sheetViews>
  <sheetFormatPr defaultRowHeight="15.5" x14ac:dyDescent="0.35"/>
  <cols>
    <col min="1" max="1" width="26.4140625" bestFit="1" customWidth="1"/>
    <col min="2" max="2" width="16.33203125" bestFit="1" customWidth="1"/>
    <col min="3" max="3" width="13" bestFit="1" customWidth="1"/>
    <col min="4" max="4" width="15.58203125" bestFit="1" customWidth="1"/>
    <col min="5" max="5" width="28.83203125" bestFit="1" customWidth="1"/>
    <col min="6" max="6" width="18.83203125" bestFit="1" customWidth="1"/>
    <col min="7" max="7" width="15.4140625" bestFit="1" customWidth="1"/>
    <col min="8" max="8" width="18.08203125" bestFit="1" customWidth="1"/>
  </cols>
  <sheetData>
    <row r="1" spans="1:8" s="11" customFormat="1" x14ac:dyDescent="0.35">
      <c r="A1" s="11" t="s">
        <v>2094</v>
      </c>
      <c r="B1" s="11" t="s">
        <v>2095</v>
      </c>
      <c r="C1" s="11" t="s">
        <v>2096</v>
      </c>
      <c r="D1" s="11" t="s">
        <v>2097</v>
      </c>
      <c r="E1" s="11" t="s">
        <v>2113</v>
      </c>
      <c r="F1" s="11" t="s">
        <v>2098</v>
      </c>
      <c r="G1" s="11" t="s">
        <v>2099</v>
      </c>
      <c r="H1" s="11" t="s">
        <v>2100</v>
      </c>
    </row>
    <row r="2" spans="1:8" x14ac:dyDescent="0.35">
      <c r="A2" t="s">
        <v>2101</v>
      </c>
      <c r="B2">
        <f>COUNTIFS(Crowdfunding!D:D, "&lt;1000", Crowdfunding!G:G, "successful")</f>
        <v>30</v>
      </c>
      <c r="C2">
        <f>COUNTIFS(Crowdfunding!D:D, "&lt;1000", Crowdfunding!G:G, "failed")</f>
        <v>20</v>
      </c>
      <c r="D2">
        <f>COUNTIFS(Crowdfunding!D:D, "&lt;1000", Crowdfunding!G:G, "canceled")</f>
        <v>1</v>
      </c>
      <c r="E2">
        <f>SUM(B2:D2)</f>
        <v>51</v>
      </c>
      <c r="F2" s="12">
        <f>B2/E$2</f>
        <v>0.58823529411764708</v>
      </c>
      <c r="G2" s="12">
        <f>C2/E2</f>
        <v>0.39215686274509803</v>
      </c>
      <c r="H2" s="12">
        <f>D2/E2</f>
        <v>1.9607843137254902E-2</v>
      </c>
    </row>
    <row r="3" spans="1:8" x14ac:dyDescent="0.35">
      <c r="A3" t="s">
        <v>2102</v>
      </c>
      <c r="B3">
        <f>COUNTIFS(Crowdfunding!D:D, "&gt;=1000", Crowdfunding!D:D, "&lt;5000", Crowdfunding!G:G, "successful")</f>
        <v>191</v>
      </c>
      <c r="C3">
        <f>COUNTIFS(Crowdfunding!D:D, "&gt;=1000", Crowdfunding!D:D, "&lt;5000", Crowdfunding!G:G, "failed")</f>
        <v>38</v>
      </c>
      <c r="D3">
        <f>COUNTIFS(Crowdfunding!D:D, "&gt;=1000", Crowdfunding!D:D, "&lt;5000", Crowdfunding!G:G, "canceled")</f>
        <v>2</v>
      </c>
      <c r="E3">
        <f t="shared" ref="E3:E13" si="0">SUM(B3:D3)</f>
        <v>231</v>
      </c>
      <c r="F3" s="12">
        <f t="shared" ref="F3:F13" si="1">B3/E3</f>
        <v>0.82683982683982682</v>
      </c>
      <c r="G3" s="12">
        <f t="shared" ref="G3:G13" si="2">C3/E3</f>
        <v>0.16450216450216451</v>
      </c>
      <c r="H3" s="12">
        <f t="shared" ref="H3:H13" si="3">D3/E3</f>
        <v>8.658008658008658E-3</v>
      </c>
    </row>
    <row r="4" spans="1:8" x14ac:dyDescent="0.35">
      <c r="A4" t="s">
        <v>2103</v>
      </c>
      <c r="B4">
        <f>COUNTIFS(Crowdfunding!D:D, "&gt;=5000", Crowdfunding!D:D, "&lt;10000", Crowdfunding!G:G, "successful")</f>
        <v>164</v>
      </c>
      <c r="C4">
        <f>COUNTIFS(Crowdfunding!D:D, "&gt;=5000", Crowdfunding!D:D, "&lt;10000", Crowdfunding!G:G, "failed")</f>
        <v>126</v>
      </c>
      <c r="D4">
        <f>COUNTIFS(Crowdfunding!D:D, "&gt;=5000", Crowdfunding!D:D, "&lt;10000", Crowdfunding!G:G, "canceled")</f>
        <v>25</v>
      </c>
      <c r="E4">
        <f t="shared" si="0"/>
        <v>315</v>
      </c>
      <c r="F4" s="12">
        <f t="shared" si="1"/>
        <v>0.52063492063492067</v>
      </c>
      <c r="G4" s="12">
        <f t="shared" si="2"/>
        <v>0.4</v>
      </c>
      <c r="H4" s="12">
        <f t="shared" si="3"/>
        <v>7.9365079365079361E-2</v>
      </c>
    </row>
    <row r="5" spans="1:8" x14ac:dyDescent="0.35">
      <c r="A5" t="s">
        <v>2104</v>
      </c>
      <c r="B5">
        <f>COUNTIFS(Crowdfunding!D:D, "&gt;=10000", Crowdfunding!D:D, "&lt;15000", Crowdfunding!G:G, "successful")</f>
        <v>4</v>
      </c>
      <c r="C5">
        <f>COUNTIFS(Crowdfunding!D:D, "&gt;=10000", Crowdfunding!D:D, "&lt;15000", Crowdfunding!G:G, "failed")</f>
        <v>5</v>
      </c>
      <c r="D5">
        <f>COUNTIFS(Crowdfunding!D:D, "&gt;=10000", Crowdfunding!D:D, "&lt;15000", Crowdfunding!G:G, "canceled")</f>
        <v>0</v>
      </c>
      <c r="E5">
        <f t="shared" si="0"/>
        <v>9</v>
      </c>
      <c r="F5" s="12">
        <f t="shared" si="1"/>
        <v>0.44444444444444442</v>
      </c>
      <c r="G5" s="12">
        <f t="shared" si="2"/>
        <v>0.55555555555555558</v>
      </c>
      <c r="H5" s="12">
        <f t="shared" si="3"/>
        <v>0</v>
      </c>
    </row>
    <row r="6" spans="1:8" x14ac:dyDescent="0.35">
      <c r="A6" t="s">
        <v>2105</v>
      </c>
      <c r="B6">
        <f>COUNTIFS(Crowdfunding!D:D, "&gt;=15000", Crowdfunding!D:D, "&lt;20000", Crowdfunding!G:G, "successful")</f>
        <v>10</v>
      </c>
      <c r="C6">
        <f>COUNTIFS(Crowdfunding!D:D, "&gt;=15000", Crowdfunding!D:D, "&lt;20000", Crowdfunding!G:G, "failed")</f>
        <v>0</v>
      </c>
      <c r="D6">
        <f>COUNTIFS(Crowdfunding!D:D, "&gt;=15000", Crowdfunding!D:D, "&lt;20000", Crowdfunding!G:G, "canceled")</f>
        <v>0</v>
      </c>
      <c r="E6">
        <f t="shared" si="0"/>
        <v>10</v>
      </c>
      <c r="F6" s="12">
        <f t="shared" si="1"/>
        <v>1</v>
      </c>
      <c r="G6" s="12">
        <f t="shared" si="2"/>
        <v>0</v>
      </c>
      <c r="H6" s="12">
        <f t="shared" si="3"/>
        <v>0</v>
      </c>
    </row>
    <row r="7" spans="1:8" x14ac:dyDescent="0.35">
      <c r="A7" t="s">
        <v>2106</v>
      </c>
      <c r="B7">
        <f>COUNTIFS(Crowdfunding!D:D, "&gt;=20000", Crowdfunding!D:D, "&lt;25000", Crowdfunding!G:G, "successful")</f>
        <v>7</v>
      </c>
      <c r="C7">
        <f>COUNTIFS(Crowdfunding!D:D, "&gt;=20000", Crowdfunding!D:D, "&lt;25000", Crowdfunding!G:G, "failed")</f>
        <v>0</v>
      </c>
      <c r="D7">
        <f>COUNTIFS(Crowdfunding!D:D, "&gt;=20000", Crowdfunding!D:D, "&lt;25000", Crowdfunding!G:G, "canceled")</f>
        <v>0</v>
      </c>
      <c r="E7">
        <f t="shared" si="0"/>
        <v>7</v>
      </c>
      <c r="F7" s="12">
        <f t="shared" si="1"/>
        <v>1</v>
      </c>
      <c r="G7" s="12">
        <f t="shared" si="2"/>
        <v>0</v>
      </c>
      <c r="H7" s="12">
        <f t="shared" si="3"/>
        <v>0</v>
      </c>
    </row>
    <row r="8" spans="1:8" x14ac:dyDescent="0.35">
      <c r="A8" t="s">
        <v>2107</v>
      </c>
      <c r="B8">
        <f>COUNTIFS(Crowdfunding!D:D, "&gt;=25000", Crowdfunding!D:D, "&lt;30000", Crowdfunding!G:G, "successful")</f>
        <v>11</v>
      </c>
      <c r="C8">
        <f>COUNTIFS(Crowdfunding!D:D, "&gt;=25000", Crowdfunding!D:D, "&lt;30000", Crowdfunding!G:G, "failed")</f>
        <v>3</v>
      </c>
      <c r="D8">
        <f>COUNTIFS(Crowdfunding!D:D, "&gt;=25000", Crowdfunding!D:D, "&lt;30000", Crowdfunding!G:G, "canceled")</f>
        <v>0</v>
      </c>
      <c r="E8">
        <f t="shared" si="0"/>
        <v>14</v>
      </c>
      <c r="F8" s="12">
        <f t="shared" si="1"/>
        <v>0.7857142857142857</v>
      </c>
      <c r="G8" s="12">
        <f t="shared" si="2"/>
        <v>0.21428571428571427</v>
      </c>
      <c r="H8" s="12">
        <f t="shared" si="3"/>
        <v>0</v>
      </c>
    </row>
    <row r="9" spans="1:8" x14ac:dyDescent="0.35">
      <c r="A9" t="s">
        <v>2108</v>
      </c>
      <c r="B9">
        <f>COUNTIFS(Crowdfunding!D:D, "&gt;=30000", Crowdfunding!D:D, "&lt;35000", Crowdfunding!G:G, "successful")</f>
        <v>7</v>
      </c>
      <c r="C9">
        <f>COUNTIFS(Crowdfunding!D:D, "&gt;=30000", Crowdfunding!D:D, "&lt;35000", Crowdfunding!G:G, "failed")</f>
        <v>0</v>
      </c>
      <c r="D9">
        <f>COUNTIFS(Crowdfunding!D:D, "&gt;=30000", Crowdfunding!D:D, "&lt;35000", Crowdfunding!G:G, "canceled")</f>
        <v>0</v>
      </c>
      <c r="E9">
        <f t="shared" si="0"/>
        <v>7</v>
      </c>
      <c r="F9" s="12">
        <f t="shared" si="1"/>
        <v>1</v>
      </c>
      <c r="G9" s="12">
        <f t="shared" si="2"/>
        <v>0</v>
      </c>
      <c r="H9" s="12">
        <f t="shared" si="3"/>
        <v>0</v>
      </c>
    </row>
    <row r="10" spans="1:8" x14ac:dyDescent="0.35">
      <c r="A10" t="s">
        <v>2109</v>
      </c>
      <c r="B10">
        <f>COUNTIFS(Crowdfunding!D:D, "&gt;=35000", Crowdfunding!D:D, "&lt;40000", Crowdfunding!G:G, "successful")</f>
        <v>8</v>
      </c>
      <c r="C10">
        <f>COUNTIFS(Crowdfunding!D:D, "&gt;=35000", Crowdfunding!D:D, "&lt;40000", Crowdfunding!G:G, "failed")</f>
        <v>3</v>
      </c>
      <c r="D10">
        <f>COUNTIFS(Crowdfunding!D:D, "&gt;=35000", Crowdfunding!D:D, "&lt;40000", Crowdfunding!G:G, "canceled")</f>
        <v>1</v>
      </c>
      <c r="E10">
        <f t="shared" si="0"/>
        <v>12</v>
      </c>
      <c r="F10" s="12">
        <f t="shared" si="1"/>
        <v>0.66666666666666663</v>
      </c>
      <c r="G10" s="12">
        <f t="shared" si="2"/>
        <v>0.25</v>
      </c>
      <c r="H10" s="12">
        <f t="shared" si="3"/>
        <v>8.3333333333333329E-2</v>
      </c>
    </row>
    <row r="11" spans="1:8" x14ac:dyDescent="0.35">
      <c r="A11" t="s">
        <v>2110</v>
      </c>
      <c r="B11">
        <f>COUNTIFS(Crowdfunding!D:D, "&gt;=40000", Crowdfunding!D:D, "&lt;45000", Crowdfunding!G:G, "successful")</f>
        <v>11</v>
      </c>
      <c r="C11">
        <f>COUNTIFS(Crowdfunding!D:D, "&gt;=40000", Crowdfunding!D:D, "&lt;45000", Crowdfunding!G:G, "failed")</f>
        <v>3</v>
      </c>
      <c r="D11">
        <f>COUNTIFS(Crowdfunding!D:D, "&gt;=40000", Crowdfunding!D:D, "&lt;45000", Crowdfunding!G:G, "canceled")</f>
        <v>0</v>
      </c>
      <c r="E11">
        <f t="shared" si="0"/>
        <v>14</v>
      </c>
      <c r="F11" s="12">
        <f t="shared" si="1"/>
        <v>0.7857142857142857</v>
      </c>
      <c r="G11" s="12">
        <f t="shared" si="2"/>
        <v>0.21428571428571427</v>
      </c>
      <c r="H11" s="12">
        <f t="shared" si="3"/>
        <v>0</v>
      </c>
    </row>
    <row r="12" spans="1:8" x14ac:dyDescent="0.35">
      <c r="A12" t="s">
        <v>2111</v>
      </c>
      <c r="B12">
        <f>COUNTIFS(Crowdfunding!D:D, "&gt;=45000", Crowdfunding!D:D, "&lt;50000", Crowdfunding!G:G, "successful")</f>
        <v>8</v>
      </c>
      <c r="C12">
        <f>COUNTIFS(Crowdfunding!D:D, "&gt;=45000", Crowdfunding!D:D, "&lt;50000", Crowdfunding!G:G, "failed")</f>
        <v>3</v>
      </c>
      <c r="D12">
        <f>COUNTIFS(Crowdfunding!D:D, "&gt;=45000", Crowdfunding!D:D, "&lt;50000", Crowdfunding!G:G, "canceled")</f>
        <v>0</v>
      </c>
      <c r="E12">
        <f t="shared" si="0"/>
        <v>11</v>
      </c>
      <c r="F12" s="12">
        <f t="shared" si="1"/>
        <v>0.72727272727272729</v>
      </c>
      <c r="G12" s="12">
        <f t="shared" si="2"/>
        <v>0.27272727272727271</v>
      </c>
      <c r="H12" s="12">
        <f t="shared" si="3"/>
        <v>0</v>
      </c>
    </row>
    <row r="13" spans="1:8" x14ac:dyDescent="0.35">
      <c r="A13" t="s">
        <v>2112</v>
      </c>
      <c r="B13">
        <f>COUNTIFS(Crowdfunding!D:D, "&gt;=50000", Crowdfunding!G:G, "successful")</f>
        <v>114</v>
      </c>
      <c r="C13">
        <f>COUNTIFS(Crowdfunding!D:D, "&gt;=50000", Crowdfunding!G:G, "failed")</f>
        <v>163</v>
      </c>
      <c r="D13">
        <f>COUNTIFS(Crowdfunding!D:D, "&gt;=50000", Crowdfunding!G:G, "canceled")</f>
        <v>28</v>
      </c>
      <c r="E13">
        <f t="shared" si="0"/>
        <v>305</v>
      </c>
      <c r="F13" s="12">
        <f t="shared" si="1"/>
        <v>0.3737704918032787</v>
      </c>
      <c r="G13" s="12">
        <f t="shared" si="2"/>
        <v>0.53442622950819674</v>
      </c>
      <c r="H13" s="12">
        <f t="shared" si="3"/>
        <v>9.1803278688524587E-2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40EB-5C0A-4570-8FB6-AAA97442F0DF}">
  <sheetPr codeName="Sheet8" filterMode="1"/>
  <dimension ref="A1:J1001"/>
  <sheetViews>
    <sheetView workbookViewId="0">
      <selection activeCell="I14" sqref="I14:J14"/>
    </sheetView>
  </sheetViews>
  <sheetFormatPr defaultRowHeight="15.5" x14ac:dyDescent="0.35"/>
  <cols>
    <col min="1" max="1" width="8.6640625" style="13"/>
    <col min="2" max="2" width="12.83203125" bestFit="1" customWidth="1"/>
    <col min="4" max="4" width="8.6640625" style="10"/>
    <col min="5" max="5" width="13.08203125" bestFit="1" customWidth="1"/>
    <col min="8" max="8" width="16.9140625" bestFit="1" customWidth="1"/>
    <col min="9" max="9" width="9.33203125" bestFit="1" customWidth="1"/>
  </cols>
  <sheetData>
    <row r="1" spans="1:10" s="11" customFormat="1" x14ac:dyDescent="0.35">
      <c r="A1" s="14" t="s">
        <v>4</v>
      </c>
      <c r="B1" s="1" t="s">
        <v>5</v>
      </c>
      <c r="D1" s="14" t="s">
        <v>4</v>
      </c>
      <c r="E1" s="1" t="s">
        <v>5</v>
      </c>
      <c r="H1" s="11" t="s">
        <v>2114</v>
      </c>
    </row>
    <row r="2" spans="1:10" x14ac:dyDescent="0.35">
      <c r="A2" s="13" t="s">
        <v>20</v>
      </c>
      <c r="B2">
        <v>158</v>
      </c>
      <c r="D2" s="10" t="s">
        <v>14</v>
      </c>
      <c r="E2">
        <v>0</v>
      </c>
      <c r="H2" s="15"/>
      <c r="I2" s="15" t="s">
        <v>2121</v>
      </c>
      <c r="J2" s="15" t="s">
        <v>2122</v>
      </c>
    </row>
    <row r="3" spans="1:10" hidden="1" x14ac:dyDescent="0.35">
      <c r="A3" t="s">
        <v>20</v>
      </c>
      <c r="B3">
        <v>1425</v>
      </c>
      <c r="D3" t="s">
        <v>14</v>
      </c>
      <c r="E3">
        <v>24</v>
      </c>
    </row>
    <row r="4" spans="1:10" hidden="1" x14ac:dyDescent="0.35">
      <c r="A4" t="s">
        <v>20</v>
      </c>
      <c r="B4">
        <v>174</v>
      </c>
      <c r="D4" t="s">
        <v>14</v>
      </c>
      <c r="E4">
        <v>53</v>
      </c>
    </row>
    <row r="5" spans="1:10" x14ac:dyDescent="0.35">
      <c r="A5" s="13" t="s">
        <v>20</v>
      </c>
      <c r="B5">
        <v>227</v>
      </c>
      <c r="D5" s="10" t="s">
        <v>14</v>
      </c>
      <c r="E5">
        <v>18</v>
      </c>
      <c r="H5" s="15" t="s">
        <v>2115</v>
      </c>
      <c r="I5" s="16">
        <f>AVERAGE(B2:B566)</f>
        <v>851.14690265486729</v>
      </c>
      <c r="J5" s="16">
        <f>AVERAGE(E2:E365)</f>
        <v>585.61538461538464</v>
      </c>
    </row>
    <row r="6" spans="1:10" x14ac:dyDescent="0.35">
      <c r="A6" s="13" t="s">
        <v>20</v>
      </c>
      <c r="B6">
        <v>220</v>
      </c>
      <c r="D6" s="10" t="s">
        <v>14</v>
      </c>
      <c r="E6">
        <v>44</v>
      </c>
      <c r="H6" s="15" t="s">
        <v>2116</v>
      </c>
      <c r="I6" s="16">
        <f>MEDIAN(B2:B566)</f>
        <v>201</v>
      </c>
      <c r="J6" s="16">
        <f>MEDIAN(E2:E365)</f>
        <v>114.5</v>
      </c>
    </row>
    <row r="7" spans="1:10" hidden="1" x14ac:dyDescent="0.35">
      <c r="A7" t="s">
        <v>20</v>
      </c>
      <c r="B7">
        <v>98</v>
      </c>
      <c r="D7" t="s">
        <v>14</v>
      </c>
      <c r="E7">
        <v>27</v>
      </c>
    </row>
    <row r="8" spans="1:10" x14ac:dyDescent="0.35">
      <c r="A8" s="13" t="s">
        <v>20</v>
      </c>
      <c r="B8">
        <v>100</v>
      </c>
      <c r="D8" s="10" t="s">
        <v>14</v>
      </c>
      <c r="E8">
        <v>55</v>
      </c>
      <c r="H8" s="15" t="s">
        <v>2117</v>
      </c>
      <c r="I8" s="16">
        <f>MIN(B2:B566)</f>
        <v>16</v>
      </c>
      <c r="J8" s="16">
        <f>MIN(E2:E365)</f>
        <v>0</v>
      </c>
    </row>
    <row r="9" spans="1:10" hidden="1" x14ac:dyDescent="0.35">
      <c r="A9" t="s">
        <v>20</v>
      </c>
      <c r="B9">
        <v>1249</v>
      </c>
      <c r="D9" t="s">
        <v>14</v>
      </c>
      <c r="E9">
        <v>200</v>
      </c>
    </row>
    <row r="10" spans="1:10" hidden="1" x14ac:dyDescent="0.35">
      <c r="A10" t="s">
        <v>20</v>
      </c>
      <c r="B10">
        <v>1396</v>
      </c>
      <c r="D10" t="s">
        <v>14</v>
      </c>
      <c r="E10">
        <v>452</v>
      </c>
    </row>
    <row r="11" spans="1:10" x14ac:dyDescent="0.35">
      <c r="A11" s="13" t="s">
        <v>20</v>
      </c>
      <c r="B11">
        <v>890</v>
      </c>
      <c r="D11" s="10" t="s">
        <v>14</v>
      </c>
      <c r="E11">
        <v>674</v>
      </c>
      <c r="H11" s="15" t="s">
        <v>2118</v>
      </c>
      <c r="I11" s="16">
        <f>MAX(B2:B566)</f>
        <v>7295</v>
      </c>
      <c r="J11" s="16">
        <f>MAX(E2:E365)</f>
        <v>6080</v>
      </c>
    </row>
    <row r="12" spans="1:10" hidden="1" x14ac:dyDescent="0.35">
      <c r="A12" t="s">
        <v>20</v>
      </c>
      <c r="B12">
        <v>142</v>
      </c>
      <c r="D12" t="s">
        <v>14</v>
      </c>
      <c r="E12">
        <v>558</v>
      </c>
    </row>
    <row r="13" spans="1:10" x14ac:dyDescent="0.35">
      <c r="A13" s="13" t="s">
        <v>20</v>
      </c>
      <c r="B13">
        <v>2673</v>
      </c>
      <c r="D13" s="10" t="s">
        <v>14</v>
      </c>
      <c r="E13">
        <v>15</v>
      </c>
      <c r="H13" s="15" t="s">
        <v>2119</v>
      </c>
      <c r="I13" s="16">
        <f>_xlfn.VAR.S(B2:B566)</f>
        <v>1606216.5936295739</v>
      </c>
      <c r="J13" s="16">
        <f>_xlfn.VAR.S(E2:E365)</f>
        <v>924113.45496927318</v>
      </c>
    </row>
    <row r="14" spans="1:10" x14ac:dyDescent="0.35">
      <c r="A14" s="13" t="s">
        <v>20</v>
      </c>
      <c r="B14">
        <v>163</v>
      </c>
      <c r="D14" s="10" t="s">
        <v>14</v>
      </c>
      <c r="E14">
        <v>2307</v>
      </c>
      <c r="H14" s="15" t="s">
        <v>2120</v>
      </c>
      <c r="I14" s="16">
        <f>_xlfn.STDEV.S(B2:B566)</f>
        <v>1267.366006183523</v>
      </c>
      <c r="J14" s="16">
        <f>_xlfn.STDEV.S(E2:E365)</f>
        <v>961.30819978260524</v>
      </c>
    </row>
    <row r="15" spans="1:10" hidden="1" x14ac:dyDescent="0.35">
      <c r="A15" t="s">
        <v>20</v>
      </c>
      <c r="B15">
        <v>2220</v>
      </c>
      <c r="D15" t="s">
        <v>14</v>
      </c>
      <c r="E15">
        <v>88</v>
      </c>
    </row>
    <row r="16" spans="1:10" x14ac:dyDescent="0.35">
      <c r="A16" s="13" t="s">
        <v>20</v>
      </c>
      <c r="B16">
        <v>1606</v>
      </c>
      <c r="D16" s="10" t="s">
        <v>14</v>
      </c>
      <c r="E16">
        <v>48</v>
      </c>
    </row>
    <row r="17" spans="1:5" x14ac:dyDescent="0.35">
      <c r="A17" s="13" t="s">
        <v>20</v>
      </c>
      <c r="B17">
        <v>129</v>
      </c>
      <c r="D17" s="10" t="s">
        <v>14</v>
      </c>
      <c r="E17">
        <v>1</v>
      </c>
    </row>
    <row r="18" spans="1:5" hidden="1" x14ac:dyDescent="0.35">
      <c r="A18" t="s">
        <v>20</v>
      </c>
      <c r="B18">
        <v>226</v>
      </c>
      <c r="D18" t="s">
        <v>14</v>
      </c>
      <c r="E18">
        <v>1467</v>
      </c>
    </row>
    <row r="19" spans="1:5" hidden="1" x14ac:dyDescent="0.35">
      <c r="A19" t="s">
        <v>20</v>
      </c>
      <c r="B19">
        <v>5419</v>
      </c>
      <c r="D19" t="s">
        <v>14</v>
      </c>
      <c r="E19">
        <v>75</v>
      </c>
    </row>
    <row r="20" spans="1:5" hidden="1" x14ac:dyDescent="0.35">
      <c r="A20" t="s">
        <v>20</v>
      </c>
      <c r="B20">
        <v>165</v>
      </c>
      <c r="D20" t="s">
        <v>14</v>
      </c>
      <c r="E20">
        <v>120</v>
      </c>
    </row>
    <row r="21" spans="1:5" x14ac:dyDescent="0.35">
      <c r="A21" s="13" t="s">
        <v>20</v>
      </c>
      <c r="B21">
        <v>1965</v>
      </c>
      <c r="D21" s="10" t="s">
        <v>14</v>
      </c>
      <c r="E21">
        <v>2253</v>
      </c>
    </row>
    <row r="22" spans="1:5" hidden="1" x14ac:dyDescent="0.35">
      <c r="A22" t="s">
        <v>20</v>
      </c>
      <c r="B22">
        <v>16</v>
      </c>
      <c r="D22" t="s">
        <v>14</v>
      </c>
      <c r="E22">
        <v>5</v>
      </c>
    </row>
    <row r="23" spans="1:5" x14ac:dyDescent="0.35">
      <c r="A23" s="13" t="s">
        <v>20</v>
      </c>
      <c r="B23">
        <v>107</v>
      </c>
      <c r="D23" s="10" t="s">
        <v>14</v>
      </c>
      <c r="E23">
        <v>38</v>
      </c>
    </row>
    <row r="24" spans="1:5" hidden="1" x14ac:dyDescent="0.35">
      <c r="A24" t="s">
        <v>20</v>
      </c>
      <c r="B24">
        <v>134</v>
      </c>
      <c r="D24" t="s">
        <v>14</v>
      </c>
      <c r="E24">
        <v>12</v>
      </c>
    </row>
    <row r="25" spans="1:5" hidden="1" x14ac:dyDescent="0.35">
      <c r="A25" t="s">
        <v>20</v>
      </c>
      <c r="B25">
        <v>198</v>
      </c>
      <c r="D25" t="s">
        <v>14</v>
      </c>
      <c r="E25">
        <v>1684</v>
      </c>
    </row>
    <row r="26" spans="1:5" hidden="1" x14ac:dyDescent="0.35">
      <c r="A26" t="s">
        <v>20</v>
      </c>
      <c r="B26">
        <v>111</v>
      </c>
      <c r="D26" t="s">
        <v>14</v>
      </c>
      <c r="E26">
        <v>56</v>
      </c>
    </row>
    <row r="27" spans="1:5" hidden="1" x14ac:dyDescent="0.35">
      <c r="A27" t="s">
        <v>20</v>
      </c>
      <c r="B27">
        <v>222</v>
      </c>
      <c r="D27" t="s">
        <v>14</v>
      </c>
      <c r="E27">
        <v>838</v>
      </c>
    </row>
    <row r="28" spans="1:5" hidden="1" x14ac:dyDescent="0.35">
      <c r="A28" t="s">
        <v>20</v>
      </c>
      <c r="B28">
        <v>6212</v>
      </c>
      <c r="D28" t="s">
        <v>14</v>
      </c>
      <c r="E28">
        <v>1000</v>
      </c>
    </row>
    <row r="29" spans="1:5" x14ac:dyDescent="0.35">
      <c r="A29" s="13" t="s">
        <v>20</v>
      </c>
      <c r="B29">
        <v>98</v>
      </c>
      <c r="D29" s="10" t="s">
        <v>14</v>
      </c>
      <c r="E29">
        <v>1482</v>
      </c>
    </row>
    <row r="30" spans="1:5" hidden="1" x14ac:dyDescent="0.35">
      <c r="A30" t="s">
        <v>20</v>
      </c>
      <c r="B30">
        <v>92</v>
      </c>
      <c r="D30" t="s">
        <v>14</v>
      </c>
      <c r="E30">
        <v>106</v>
      </c>
    </row>
    <row r="31" spans="1:5" hidden="1" x14ac:dyDescent="0.35">
      <c r="A31" t="s">
        <v>20</v>
      </c>
      <c r="B31">
        <v>149</v>
      </c>
      <c r="D31" t="s">
        <v>14</v>
      </c>
      <c r="E31">
        <v>679</v>
      </c>
    </row>
    <row r="32" spans="1:5" hidden="1" x14ac:dyDescent="0.35">
      <c r="A32" t="s">
        <v>20</v>
      </c>
      <c r="B32">
        <v>2431</v>
      </c>
      <c r="D32" t="s">
        <v>14</v>
      </c>
      <c r="E32">
        <v>1220</v>
      </c>
    </row>
    <row r="33" spans="1:5" hidden="1" x14ac:dyDescent="0.35">
      <c r="A33" t="s">
        <v>20</v>
      </c>
      <c r="B33">
        <v>303</v>
      </c>
      <c r="D33" t="s">
        <v>14</v>
      </c>
      <c r="E33">
        <v>1</v>
      </c>
    </row>
    <row r="34" spans="1:5" x14ac:dyDescent="0.35">
      <c r="A34" s="13" t="s">
        <v>20</v>
      </c>
      <c r="B34">
        <v>209</v>
      </c>
      <c r="D34" s="10" t="s">
        <v>14</v>
      </c>
      <c r="E34">
        <v>37</v>
      </c>
    </row>
    <row r="35" spans="1:5" hidden="1" x14ac:dyDescent="0.35">
      <c r="A35" t="s">
        <v>20</v>
      </c>
      <c r="B35">
        <v>131</v>
      </c>
      <c r="D35" t="s">
        <v>14</v>
      </c>
      <c r="E35">
        <v>60</v>
      </c>
    </row>
    <row r="36" spans="1:5" hidden="1" x14ac:dyDescent="0.35">
      <c r="A36" t="s">
        <v>20</v>
      </c>
      <c r="B36">
        <v>164</v>
      </c>
      <c r="D36" t="s">
        <v>14</v>
      </c>
      <c r="E36">
        <v>296</v>
      </c>
    </row>
    <row r="37" spans="1:5" hidden="1" x14ac:dyDescent="0.35">
      <c r="A37" t="s">
        <v>20</v>
      </c>
      <c r="B37">
        <v>201</v>
      </c>
      <c r="D37" t="s">
        <v>14</v>
      </c>
      <c r="E37">
        <v>3304</v>
      </c>
    </row>
    <row r="38" spans="1:5" hidden="1" x14ac:dyDescent="0.35">
      <c r="A38" t="s">
        <v>20</v>
      </c>
      <c r="B38">
        <v>211</v>
      </c>
      <c r="D38" t="s">
        <v>14</v>
      </c>
      <c r="E38">
        <v>73</v>
      </c>
    </row>
    <row r="39" spans="1:5" hidden="1" x14ac:dyDescent="0.35">
      <c r="A39" t="s">
        <v>20</v>
      </c>
      <c r="B39">
        <v>128</v>
      </c>
      <c r="D39" t="s">
        <v>14</v>
      </c>
      <c r="E39">
        <v>3387</v>
      </c>
    </row>
    <row r="40" spans="1:5" hidden="1" x14ac:dyDescent="0.35">
      <c r="A40" t="s">
        <v>20</v>
      </c>
      <c r="B40">
        <v>1600</v>
      </c>
      <c r="D40" t="s">
        <v>14</v>
      </c>
      <c r="E40">
        <v>662</v>
      </c>
    </row>
    <row r="41" spans="1:5" x14ac:dyDescent="0.35">
      <c r="A41" s="13" t="s">
        <v>20</v>
      </c>
      <c r="B41">
        <v>249</v>
      </c>
      <c r="D41" s="10" t="s">
        <v>14</v>
      </c>
      <c r="E41">
        <v>774</v>
      </c>
    </row>
    <row r="42" spans="1:5" hidden="1" x14ac:dyDescent="0.35">
      <c r="A42" t="s">
        <v>20</v>
      </c>
      <c r="B42">
        <v>236</v>
      </c>
      <c r="D42" t="s">
        <v>14</v>
      </c>
      <c r="E42">
        <v>672</v>
      </c>
    </row>
    <row r="43" spans="1:5" hidden="1" x14ac:dyDescent="0.35">
      <c r="A43" t="s">
        <v>20</v>
      </c>
      <c r="B43">
        <v>4065</v>
      </c>
      <c r="D43" t="s">
        <v>14</v>
      </c>
      <c r="E43">
        <v>940</v>
      </c>
    </row>
    <row r="44" spans="1:5" hidden="1" x14ac:dyDescent="0.35">
      <c r="A44" t="s">
        <v>20</v>
      </c>
      <c r="B44">
        <v>246</v>
      </c>
      <c r="D44" t="s">
        <v>14</v>
      </c>
      <c r="E44">
        <v>117</v>
      </c>
    </row>
    <row r="45" spans="1:5" hidden="1" x14ac:dyDescent="0.35">
      <c r="A45" t="s">
        <v>20</v>
      </c>
      <c r="B45">
        <v>2475</v>
      </c>
      <c r="D45" t="s">
        <v>14</v>
      </c>
      <c r="E45">
        <v>115</v>
      </c>
    </row>
    <row r="46" spans="1:5" hidden="1" x14ac:dyDescent="0.35">
      <c r="A46" t="s">
        <v>20</v>
      </c>
      <c r="B46">
        <v>76</v>
      </c>
      <c r="D46" t="s">
        <v>14</v>
      </c>
      <c r="E46">
        <v>326</v>
      </c>
    </row>
    <row r="47" spans="1:5" x14ac:dyDescent="0.35">
      <c r="A47" s="13" t="s">
        <v>20</v>
      </c>
      <c r="B47">
        <v>54</v>
      </c>
      <c r="D47" s="10" t="s">
        <v>14</v>
      </c>
      <c r="E47">
        <v>1</v>
      </c>
    </row>
    <row r="48" spans="1:5" hidden="1" x14ac:dyDescent="0.35">
      <c r="A48" t="s">
        <v>20</v>
      </c>
      <c r="B48">
        <v>88</v>
      </c>
      <c r="D48" t="s">
        <v>14</v>
      </c>
      <c r="E48">
        <v>1467</v>
      </c>
    </row>
    <row r="49" spans="1:5" hidden="1" x14ac:dyDescent="0.35">
      <c r="A49" t="s">
        <v>20</v>
      </c>
      <c r="B49">
        <v>85</v>
      </c>
      <c r="D49" t="s">
        <v>14</v>
      </c>
      <c r="E49">
        <v>5681</v>
      </c>
    </row>
    <row r="50" spans="1:5" hidden="1" x14ac:dyDescent="0.35">
      <c r="A50" t="s">
        <v>20</v>
      </c>
      <c r="B50">
        <v>170</v>
      </c>
      <c r="D50" t="s">
        <v>14</v>
      </c>
      <c r="E50">
        <v>1059</v>
      </c>
    </row>
    <row r="51" spans="1:5" hidden="1" x14ac:dyDescent="0.35">
      <c r="A51" t="s">
        <v>20</v>
      </c>
      <c r="B51">
        <v>330</v>
      </c>
      <c r="D51" t="s">
        <v>14</v>
      </c>
      <c r="E51">
        <v>1194</v>
      </c>
    </row>
    <row r="52" spans="1:5" x14ac:dyDescent="0.35">
      <c r="A52" s="13" t="s">
        <v>20</v>
      </c>
      <c r="B52">
        <v>127</v>
      </c>
      <c r="D52" s="10" t="s">
        <v>14</v>
      </c>
      <c r="E52">
        <v>30</v>
      </c>
    </row>
    <row r="53" spans="1:5" x14ac:dyDescent="0.35">
      <c r="A53" s="13" t="s">
        <v>20</v>
      </c>
      <c r="B53">
        <v>411</v>
      </c>
      <c r="D53" s="10" t="s">
        <v>14</v>
      </c>
      <c r="E53">
        <v>75</v>
      </c>
    </row>
    <row r="54" spans="1:5" x14ac:dyDescent="0.35">
      <c r="A54" s="13" t="s">
        <v>20</v>
      </c>
      <c r="B54">
        <v>180</v>
      </c>
      <c r="D54" s="10" t="s">
        <v>14</v>
      </c>
      <c r="E54">
        <v>955</v>
      </c>
    </row>
    <row r="55" spans="1:5" hidden="1" x14ac:dyDescent="0.35">
      <c r="A55" t="s">
        <v>20</v>
      </c>
      <c r="B55">
        <v>374</v>
      </c>
      <c r="D55" t="s">
        <v>14</v>
      </c>
      <c r="E55">
        <v>67</v>
      </c>
    </row>
    <row r="56" spans="1:5" x14ac:dyDescent="0.35">
      <c r="A56" s="13" t="s">
        <v>20</v>
      </c>
      <c r="B56">
        <v>71</v>
      </c>
      <c r="D56" s="10" t="s">
        <v>14</v>
      </c>
      <c r="E56">
        <v>5</v>
      </c>
    </row>
    <row r="57" spans="1:5" hidden="1" x14ac:dyDescent="0.35">
      <c r="A57" t="s">
        <v>20</v>
      </c>
      <c r="B57">
        <v>203</v>
      </c>
      <c r="D57" t="s">
        <v>14</v>
      </c>
      <c r="E57">
        <v>26</v>
      </c>
    </row>
    <row r="58" spans="1:5" hidden="1" x14ac:dyDescent="0.35">
      <c r="A58" t="s">
        <v>20</v>
      </c>
      <c r="B58">
        <v>113</v>
      </c>
      <c r="D58" t="s">
        <v>14</v>
      </c>
      <c r="E58">
        <v>1130</v>
      </c>
    </row>
    <row r="59" spans="1:5" hidden="1" x14ac:dyDescent="0.35">
      <c r="A59" t="s">
        <v>20</v>
      </c>
      <c r="B59">
        <v>96</v>
      </c>
      <c r="D59" t="s">
        <v>14</v>
      </c>
      <c r="E59">
        <v>782</v>
      </c>
    </row>
    <row r="60" spans="1:5" hidden="1" x14ac:dyDescent="0.35">
      <c r="A60" t="s">
        <v>20</v>
      </c>
      <c r="B60">
        <v>498</v>
      </c>
      <c r="D60" t="s">
        <v>14</v>
      </c>
      <c r="E60">
        <v>210</v>
      </c>
    </row>
    <row r="61" spans="1:5" hidden="1" x14ac:dyDescent="0.35">
      <c r="A61" t="s">
        <v>20</v>
      </c>
      <c r="B61">
        <v>180</v>
      </c>
      <c r="D61" t="s">
        <v>14</v>
      </c>
      <c r="E61">
        <v>136</v>
      </c>
    </row>
    <row r="62" spans="1:5" hidden="1" x14ac:dyDescent="0.35">
      <c r="A62" t="s">
        <v>20</v>
      </c>
      <c r="B62">
        <v>27</v>
      </c>
      <c r="D62" t="s">
        <v>14</v>
      </c>
      <c r="E62">
        <v>86</v>
      </c>
    </row>
    <row r="63" spans="1:5" x14ac:dyDescent="0.35">
      <c r="A63" s="13" t="s">
        <v>20</v>
      </c>
      <c r="B63">
        <v>2331</v>
      </c>
      <c r="D63" s="10" t="s">
        <v>14</v>
      </c>
      <c r="E63">
        <v>19</v>
      </c>
    </row>
    <row r="64" spans="1:5" hidden="1" x14ac:dyDescent="0.35">
      <c r="A64" t="s">
        <v>20</v>
      </c>
      <c r="B64">
        <v>113</v>
      </c>
      <c r="D64" t="s">
        <v>14</v>
      </c>
      <c r="E64">
        <v>886</v>
      </c>
    </row>
    <row r="65" spans="1:5" x14ac:dyDescent="0.35">
      <c r="A65" s="13" t="s">
        <v>20</v>
      </c>
      <c r="B65">
        <v>164</v>
      </c>
      <c r="D65" s="10" t="s">
        <v>14</v>
      </c>
      <c r="E65">
        <v>35</v>
      </c>
    </row>
    <row r="66" spans="1:5" x14ac:dyDescent="0.35">
      <c r="A66" s="13" t="s">
        <v>20</v>
      </c>
      <c r="B66">
        <v>164</v>
      </c>
      <c r="D66" s="10" t="s">
        <v>14</v>
      </c>
      <c r="E66">
        <v>24</v>
      </c>
    </row>
    <row r="67" spans="1:5" hidden="1" x14ac:dyDescent="0.35">
      <c r="A67" t="s">
        <v>20</v>
      </c>
      <c r="B67">
        <v>336</v>
      </c>
      <c r="D67" t="s">
        <v>14</v>
      </c>
      <c r="E67">
        <v>86</v>
      </c>
    </row>
    <row r="68" spans="1:5" x14ac:dyDescent="0.35">
      <c r="A68" s="13" t="s">
        <v>20</v>
      </c>
      <c r="B68">
        <v>1917</v>
      </c>
      <c r="D68" s="10" t="s">
        <v>14</v>
      </c>
      <c r="E68">
        <v>243</v>
      </c>
    </row>
    <row r="69" spans="1:5" hidden="1" x14ac:dyDescent="0.35">
      <c r="A69" t="s">
        <v>20</v>
      </c>
      <c r="B69">
        <v>95</v>
      </c>
      <c r="D69" t="s">
        <v>14</v>
      </c>
      <c r="E69">
        <v>65</v>
      </c>
    </row>
    <row r="70" spans="1:5" hidden="1" x14ac:dyDescent="0.35">
      <c r="A70" t="s">
        <v>20</v>
      </c>
      <c r="B70">
        <v>147</v>
      </c>
      <c r="D70" t="s">
        <v>14</v>
      </c>
      <c r="E70">
        <v>100</v>
      </c>
    </row>
    <row r="71" spans="1:5" hidden="1" x14ac:dyDescent="0.35">
      <c r="A71" t="s">
        <v>20</v>
      </c>
      <c r="B71">
        <v>86</v>
      </c>
      <c r="D71" t="s">
        <v>14</v>
      </c>
      <c r="E71">
        <v>168</v>
      </c>
    </row>
    <row r="72" spans="1:5" hidden="1" x14ac:dyDescent="0.35">
      <c r="A72" t="s">
        <v>20</v>
      </c>
      <c r="B72">
        <v>83</v>
      </c>
      <c r="D72" t="s">
        <v>14</v>
      </c>
      <c r="E72">
        <v>13</v>
      </c>
    </row>
    <row r="73" spans="1:5" hidden="1" x14ac:dyDescent="0.35">
      <c r="A73" t="s">
        <v>20</v>
      </c>
      <c r="B73">
        <v>676</v>
      </c>
      <c r="D73" t="s">
        <v>14</v>
      </c>
      <c r="E73">
        <v>1</v>
      </c>
    </row>
    <row r="74" spans="1:5" hidden="1" x14ac:dyDescent="0.35">
      <c r="A74" t="s">
        <v>20</v>
      </c>
      <c r="B74">
        <v>361</v>
      </c>
      <c r="D74" t="s">
        <v>14</v>
      </c>
      <c r="E74">
        <v>40</v>
      </c>
    </row>
    <row r="75" spans="1:5" hidden="1" x14ac:dyDescent="0.35">
      <c r="A75" t="s">
        <v>20</v>
      </c>
      <c r="B75">
        <v>131</v>
      </c>
      <c r="D75" t="s">
        <v>14</v>
      </c>
      <c r="E75">
        <v>226</v>
      </c>
    </row>
    <row r="76" spans="1:5" hidden="1" x14ac:dyDescent="0.35">
      <c r="A76" t="s">
        <v>20</v>
      </c>
      <c r="B76">
        <v>126</v>
      </c>
      <c r="D76" t="s">
        <v>14</v>
      </c>
      <c r="E76">
        <v>1625</v>
      </c>
    </row>
    <row r="77" spans="1:5" hidden="1" x14ac:dyDescent="0.35">
      <c r="A77" t="s">
        <v>20</v>
      </c>
      <c r="B77">
        <v>275</v>
      </c>
      <c r="D77" t="s">
        <v>14</v>
      </c>
      <c r="E77">
        <v>143</v>
      </c>
    </row>
    <row r="78" spans="1:5" x14ac:dyDescent="0.35">
      <c r="A78" s="13" t="s">
        <v>20</v>
      </c>
      <c r="B78">
        <v>67</v>
      </c>
      <c r="D78" s="10" t="s">
        <v>14</v>
      </c>
      <c r="E78">
        <v>934</v>
      </c>
    </row>
    <row r="79" spans="1:5" x14ac:dyDescent="0.35">
      <c r="A79" s="13" t="s">
        <v>20</v>
      </c>
      <c r="B79">
        <v>154</v>
      </c>
      <c r="D79" s="10" t="s">
        <v>14</v>
      </c>
      <c r="E79">
        <v>17</v>
      </c>
    </row>
    <row r="80" spans="1:5" hidden="1" x14ac:dyDescent="0.35">
      <c r="A80" t="s">
        <v>20</v>
      </c>
      <c r="B80">
        <v>1782</v>
      </c>
      <c r="D80" t="s">
        <v>14</v>
      </c>
      <c r="E80">
        <v>2179</v>
      </c>
    </row>
    <row r="81" spans="1:5" x14ac:dyDescent="0.35">
      <c r="A81" s="13" t="s">
        <v>20</v>
      </c>
      <c r="B81">
        <v>903</v>
      </c>
      <c r="D81" s="10" t="s">
        <v>14</v>
      </c>
      <c r="E81">
        <v>931</v>
      </c>
    </row>
    <row r="82" spans="1:5" hidden="1" x14ac:dyDescent="0.35">
      <c r="A82" t="s">
        <v>20</v>
      </c>
      <c r="B82">
        <v>94</v>
      </c>
      <c r="D82" t="s">
        <v>14</v>
      </c>
      <c r="E82">
        <v>92</v>
      </c>
    </row>
    <row r="83" spans="1:5" hidden="1" x14ac:dyDescent="0.35">
      <c r="A83" t="s">
        <v>20</v>
      </c>
      <c r="B83">
        <v>180</v>
      </c>
      <c r="D83" t="s">
        <v>14</v>
      </c>
      <c r="E83">
        <v>57</v>
      </c>
    </row>
    <row r="84" spans="1:5" hidden="1" x14ac:dyDescent="0.35">
      <c r="A84" t="s">
        <v>20</v>
      </c>
      <c r="B84">
        <v>533</v>
      </c>
      <c r="D84" t="s">
        <v>14</v>
      </c>
      <c r="E84">
        <v>41</v>
      </c>
    </row>
    <row r="85" spans="1:5" x14ac:dyDescent="0.35">
      <c r="A85" s="13" t="s">
        <v>20</v>
      </c>
      <c r="B85">
        <v>2443</v>
      </c>
      <c r="D85" s="10" t="s">
        <v>14</v>
      </c>
      <c r="E85">
        <v>1</v>
      </c>
    </row>
    <row r="86" spans="1:5" hidden="1" x14ac:dyDescent="0.35">
      <c r="A86" t="s">
        <v>20</v>
      </c>
      <c r="B86">
        <v>89</v>
      </c>
      <c r="D86" t="s">
        <v>14</v>
      </c>
      <c r="E86">
        <v>101</v>
      </c>
    </row>
    <row r="87" spans="1:5" hidden="1" x14ac:dyDescent="0.35">
      <c r="A87" t="s">
        <v>20</v>
      </c>
      <c r="B87">
        <v>159</v>
      </c>
      <c r="D87" t="s">
        <v>14</v>
      </c>
      <c r="E87">
        <v>1335</v>
      </c>
    </row>
    <row r="88" spans="1:5" hidden="1" x14ac:dyDescent="0.35">
      <c r="A88" t="s">
        <v>20</v>
      </c>
      <c r="B88">
        <v>50</v>
      </c>
      <c r="D88" t="s">
        <v>14</v>
      </c>
      <c r="E88">
        <v>15</v>
      </c>
    </row>
    <row r="89" spans="1:5" x14ac:dyDescent="0.35">
      <c r="A89" s="13" t="s">
        <v>20</v>
      </c>
      <c r="B89">
        <v>186</v>
      </c>
      <c r="D89" s="10" t="s">
        <v>14</v>
      </c>
      <c r="E89">
        <v>454</v>
      </c>
    </row>
    <row r="90" spans="1:5" hidden="1" x14ac:dyDescent="0.35">
      <c r="A90" t="s">
        <v>20</v>
      </c>
      <c r="B90">
        <v>1071</v>
      </c>
      <c r="D90" t="s">
        <v>14</v>
      </c>
      <c r="E90">
        <v>3182</v>
      </c>
    </row>
    <row r="91" spans="1:5" hidden="1" x14ac:dyDescent="0.35">
      <c r="A91" t="s">
        <v>20</v>
      </c>
      <c r="B91">
        <v>117</v>
      </c>
      <c r="D91" t="s">
        <v>14</v>
      </c>
      <c r="E91">
        <v>15</v>
      </c>
    </row>
    <row r="92" spans="1:5" x14ac:dyDescent="0.35">
      <c r="A92" s="13" t="s">
        <v>20</v>
      </c>
      <c r="B92">
        <v>70</v>
      </c>
      <c r="D92" s="10" t="s">
        <v>14</v>
      </c>
      <c r="E92">
        <v>133</v>
      </c>
    </row>
    <row r="93" spans="1:5" x14ac:dyDescent="0.35">
      <c r="A93" s="13" t="s">
        <v>20</v>
      </c>
      <c r="B93">
        <v>135</v>
      </c>
      <c r="D93" s="10" t="s">
        <v>14</v>
      </c>
      <c r="E93">
        <v>2062</v>
      </c>
    </row>
    <row r="94" spans="1:5" hidden="1" x14ac:dyDescent="0.35">
      <c r="A94" t="s">
        <v>20</v>
      </c>
      <c r="B94">
        <v>768</v>
      </c>
      <c r="D94" t="s">
        <v>14</v>
      </c>
      <c r="E94">
        <v>29</v>
      </c>
    </row>
    <row r="95" spans="1:5" hidden="1" x14ac:dyDescent="0.35">
      <c r="A95" t="s">
        <v>20</v>
      </c>
      <c r="B95">
        <v>199</v>
      </c>
      <c r="D95" t="s">
        <v>14</v>
      </c>
      <c r="E95">
        <v>132</v>
      </c>
    </row>
    <row r="96" spans="1:5" hidden="1" x14ac:dyDescent="0.35">
      <c r="A96" t="s">
        <v>20</v>
      </c>
      <c r="B96">
        <v>107</v>
      </c>
      <c r="D96" t="s">
        <v>14</v>
      </c>
      <c r="E96">
        <v>137</v>
      </c>
    </row>
    <row r="97" spans="1:5" hidden="1" x14ac:dyDescent="0.35">
      <c r="A97" t="s">
        <v>20</v>
      </c>
      <c r="B97">
        <v>195</v>
      </c>
      <c r="D97" t="s">
        <v>14</v>
      </c>
      <c r="E97">
        <v>908</v>
      </c>
    </row>
    <row r="98" spans="1:5" hidden="1" x14ac:dyDescent="0.35">
      <c r="A98" t="s">
        <v>20</v>
      </c>
      <c r="B98">
        <v>3376</v>
      </c>
      <c r="D98" t="s">
        <v>14</v>
      </c>
      <c r="E98">
        <v>10</v>
      </c>
    </row>
    <row r="99" spans="1:5" hidden="1" x14ac:dyDescent="0.35">
      <c r="A99" t="s">
        <v>20</v>
      </c>
      <c r="B99">
        <v>41</v>
      </c>
      <c r="D99" t="s">
        <v>14</v>
      </c>
      <c r="E99">
        <v>1910</v>
      </c>
    </row>
    <row r="100" spans="1:5" x14ac:dyDescent="0.35">
      <c r="A100" s="13" t="s">
        <v>20</v>
      </c>
      <c r="B100">
        <v>1821</v>
      </c>
      <c r="D100" s="10" t="s">
        <v>14</v>
      </c>
      <c r="E100">
        <v>38</v>
      </c>
    </row>
    <row r="101" spans="1:5" hidden="1" x14ac:dyDescent="0.35">
      <c r="A101" t="s">
        <v>20</v>
      </c>
      <c r="B101">
        <v>164</v>
      </c>
      <c r="D101" t="s">
        <v>14</v>
      </c>
      <c r="E101">
        <v>104</v>
      </c>
    </row>
    <row r="102" spans="1:5" x14ac:dyDescent="0.35">
      <c r="A102" s="13" t="s">
        <v>20</v>
      </c>
      <c r="B102">
        <v>157</v>
      </c>
      <c r="D102" s="10" t="s">
        <v>14</v>
      </c>
      <c r="E102">
        <v>49</v>
      </c>
    </row>
    <row r="103" spans="1:5" hidden="1" x14ac:dyDescent="0.35">
      <c r="A103" t="s">
        <v>20</v>
      </c>
      <c r="B103">
        <v>246</v>
      </c>
      <c r="D103" t="s">
        <v>14</v>
      </c>
      <c r="E103">
        <v>1</v>
      </c>
    </row>
    <row r="104" spans="1:5" hidden="1" x14ac:dyDescent="0.35">
      <c r="A104" t="s">
        <v>20</v>
      </c>
      <c r="B104">
        <v>1396</v>
      </c>
      <c r="D104" t="s">
        <v>14</v>
      </c>
      <c r="E104">
        <v>245</v>
      </c>
    </row>
    <row r="105" spans="1:5" x14ac:dyDescent="0.35">
      <c r="A105" s="13" t="s">
        <v>20</v>
      </c>
      <c r="B105">
        <v>2506</v>
      </c>
      <c r="D105" s="10" t="s">
        <v>14</v>
      </c>
      <c r="E105">
        <v>32</v>
      </c>
    </row>
    <row r="106" spans="1:5" hidden="1" x14ac:dyDescent="0.35">
      <c r="A106" t="s">
        <v>20</v>
      </c>
      <c r="B106">
        <v>244</v>
      </c>
      <c r="D106" t="s">
        <v>14</v>
      </c>
      <c r="E106">
        <v>7</v>
      </c>
    </row>
    <row r="107" spans="1:5" hidden="1" x14ac:dyDescent="0.35">
      <c r="A107" t="s">
        <v>20</v>
      </c>
      <c r="B107">
        <v>146</v>
      </c>
      <c r="D107" t="s">
        <v>14</v>
      </c>
      <c r="E107">
        <v>803</v>
      </c>
    </row>
    <row r="108" spans="1:5" hidden="1" x14ac:dyDescent="0.35">
      <c r="A108" t="s">
        <v>20</v>
      </c>
      <c r="B108">
        <v>1267</v>
      </c>
      <c r="D108" t="s">
        <v>14</v>
      </c>
      <c r="E108">
        <v>16</v>
      </c>
    </row>
    <row r="109" spans="1:5" hidden="1" x14ac:dyDescent="0.35">
      <c r="A109" t="s">
        <v>20</v>
      </c>
      <c r="B109">
        <v>1561</v>
      </c>
      <c r="D109" t="s">
        <v>14</v>
      </c>
      <c r="E109">
        <v>31</v>
      </c>
    </row>
    <row r="110" spans="1:5" hidden="1" x14ac:dyDescent="0.35">
      <c r="A110" t="s">
        <v>20</v>
      </c>
      <c r="B110">
        <v>48</v>
      </c>
      <c r="D110" t="s">
        <v>14</v>
      </c>
      <c r="E110">
        <v>108</v>
      </c>
    </row>
    <row r="111" spans="1:5" x14ac:dyDescent="0.35">
      <c r="A111" s="13" t="s">
        <v>20</v>
      </c>
      <c r="B111">
        <v>2739</v>
      </c>
      <c r="D111" s="10" t="s">
        <v>14</v>
      </c>
      <c r="E111">
        <v>30</v>
      </c>
    </row>
    <row r="112" spans="1:5" x14ac:dyDescent="0.35">
      <c r="A112" s="13" t="s">
        <v>20</v>
      </c>
      <c r="B112">
        <v>3537</v>
      </c>
      <c r="D112" s="10" t="s">
        <v>14</v>
      </c>
      <c r="E112">
        <v>17</v>
      </c>
    </row>
    <row r="113" spans="1:5" hidden="1" x14ac:dyDescent="0.35">
      <c r="A113" t="s">
        <v>20</v>
      </c>
      <c r="B113">
        <v>2107</v>
      </c>
      <c r="D113" t="s">
        <v>14</v>
      </c>
      <c r="E113">
        <v>80</v>
      </c>
    </row>
    <row r="114" spans="1:5" hidden="1" x14ac:dyDescent="0.35">
      <c r="A114" t="s">
        <v>20</v>
      </c>
      <c r="B114">
        <v>3318</v>
      </c>
      <c r="D114" t="s">
        <v>14</v>
      </c>
      <c r="E114">
        <v>2468</v>
      </c>
    </row>
    <row r="115" spans="1:5" hidden="1" x14ac:dyDescent="0.35">
      <c r="A115" t="s">
        <v>20</v>
      </c>
      <c r="B115">
        <v>340</v>
      </c>
      <c r="D115" t="s">
        <v>14</v>
      </c>
      <c r="E115">
        <v>26</v>
      </c>
    </row>
    <row r="116" spans="1:5" hidden="1" x14ac:dyDescent="0.35">
      <c r="A116" t="s">
        <v>20</v>
      </c>
      <c r="B116">
        <v>1442</v>
      </c>
      <c r="D116" t="s">
        <v>14</v>
      </c>
      <c r="E116">
        <v>73</v>
      </c>
    </row>
    <row r="117" spans="1:5" x14ac:dyDescent="0.35">
      <c r="A117" s="13" t="s">
        <v>20</v>
      </c>
      <c r="B117">
        <v>126</v>
      </c>
      <c r="D117" s="10" t="s">
        <v>14</v>
      </c>
      <c r="E117">
        <v>128</v>
      </c>
    </row>
    <row r="118" spans="1:5" x14ac:dyDescent="0.35">
      <c r="A118" s="13" t="s">
        <v>20</v>
      </c>
      <c r="B118">
        <v>524</v>
      </c>
      <c r="D118" s="10" t="s">
        <v>14</v>
      </c>
      <c r="E118">
        <v>33</v>
      </c>
    </row>
    <row r="119" spans="1:5" hidden="1" x14ac:dyDescent="0.35">
      <c r="A119" t="s">
        <v>20</v>
      </c>
      <c r="B119">
        <v>1989</v>
      </c>
      <c r="D119" t="s">
        <v>14</v>
      </c>
      <c r="E119">
        <v>1072</v>
      </c>
    </row>
    <row r="120" spans="1:5" hidden="1" x14ac:dyDescent="0.35">
      <c r="A120" t="s">
        <v>20</v>
      </c>
      <c r="B120">
        <v>157</v>
      </c>
      <c r="D120" t="s">
        <v>14</v>
      </c>
      <c r="E120">
        <v>393</v>
      </c>
    </row>
    <row r="121" spans="1:5" hidden="1" x14ac:dyDescent="0.35">
      <c r="A121" t="s">
        <v>20</v>
      </c>
      <c r="B121">
        <v>4498</v>
      </c>
      <c r="D121" t="s">
        <v>14</v>
      </c>
      <c r="E121">
        <v>1257</v>
      </c>
    </row>
    <row r="122" spans="1:5" hidden="1" x14ac:dyDescent="0.35">
      <c r="A122" t="s">
        <v>20</v>
      </c>
      <c r="B122">
        <v>80</v>
      </c>
      <c r="D122" t="s">
        <v>14</v>
      </c>
      <c r="E122">
        <v>328</v>
      </c>
    </row>
    <row r="123" spans="1:5" hidden="1" x14ac:dyDescent="0.35">
      <c r="A123" t="s">
        <v>20</v>
      </c>
      <c r="B123">
        <v>43</v>
      </c>
      <c r="D123" t="s">
        <v>14</v>
      </c>
      <c r="E123">
        <v>147</v>
      </c>
    </row>
    <row r="124" spans="1:5" x14ac:dyDescent="0.35">
      <c r="A124" s="13" t="s">
        <v>20</v>
      </c>
      <c r="B124">
        <v>2053</v>
      </c>
      <c r="D124" s="10" t="s">
        <v>14</v>
      </c>
      <c r="E124">
        <v>830</v>
      </c>
    </row>
    <row r="125" spans="1:5" x14ac:dyDescent="0.35">
      <c r="A125" s="13" t="s">
        <v>20</v>
      </c>
      <c r="B125">
        <v>168</v>
      </c>
      <c r="D125" s="10" t="s">
        <v>14</v>
      </c>
      <c r="E125">
        <v>331</v>
      </c>
    </row>
    <row r="126" spans="1:5" hidden="1" x14ac:dyDescent="0.35">
      <c r="A126" t="s">
        <v>20</v>
      </c>
      <c r="B126">
        <v>4289</v>
      </c>
      <c r="D126" t="s">
        <v>14</v>
      </c>
      <c r="E126">
        <v>25</v>
      </c>
    </row>
    <row r="127" spans="1:5" hidden="1" x14ac:dyDescent="0.35">
      <c r="A127" t="s">
        <v>20</v>
      </c>
      <c r="B127">
        <v>165</v>
      </c>
      <c r="D127" t="s">
        <v>14</v>
      </c>
      <c r="E127">
        <v>3483</v>
      </c>
    </row>
    <row r="128" spans="1:5" x14ac:dyDescent="0.35">
      <c r="A128" s="13" t="s">
        <v>20</v>
      </c>
      <c r="B128">
        <v>1815</v>
      </c>
      <c r="D128" s="10" t="s">
        <v>14</v>
      </c>
      <c r="E128">
        <v>923</v>
      </c>
    </row>
    <row r="129" spans="1:5" x14ac:dyDescent="0.35">
      <c r="A129" s="13" t="s">
        <v>20</v>
      </c>
      <c r="B129">
        <v>397</v>
      </c>
      <c r="D129" s="10" t="s">
        <v>14</v>
      </c>
      <c r="E129">
        <v>1</v>
      </c>
    </row>
    <row r="130" spans="1:5" hidden="1" x14ac:dyDescent="0.35">
      <c r="A130" t="s">
        <v>20</v>
      </c>
      <c r="B130">
        <v>1539</v>
      </c>
      <c r="D130" t="s">
        <v>14</v>
      </c>
      <c r="E130">
        <v>33</v>
      </c>
    </row>
    <row r="131" spans="1:5" hidden="1" x14ac:dyDescent="0.35">
      <c r="A131" t="s">
        <v>20</v>
      </c>
      <c r="B131">
        <v>138</v>
      </c>
      <c r="D131" t="s">
        <v>14</v>
      </c>
      <c r="E131">
        <v>40</v>
      </c>
    </row>
    <row r="132" spans="1:5" hidden="1" x14ac:dyDescent="0.35">
      <c r="A132" t="s">
        <v>20</v>
      </c>
      <c r="B132">
        <v>3594</v>
      </c>
      <c r="D132" t="s">
        <v>14</v>
      </c>
      <c r="E132">
        <v>23</v>
      </c>
    </row>
    <row r="133" spans="1:5" hidden="1" x14ac:dyDescent="0.35">
      <c r="A133" t="s">
        <v>20</v>
      </c>
      <c r="B133">
        <v>5880</v>
      </c>
      <c r="D133" t="s">
        <v>14</v>
      </c>
      <c r="E133">
        <v>75</v>
      </c>
    </row>
    <row r="134" spans="1:5" hidden="1" x14ac:dyDescent="0.35">
      <c r="A134" t="s">
        <v>20</v>
      </c>
      <c r="B134">
        <v>112</v>
      </c>
      <c r="D134" t="s">
        <v>14</v>
      </c>
      <c r="E134">
        <v>2176</v>
      </c>
    </row>
    <row r="135" spans="1:5" hidden="1" x14ac:dyDescent="0.35">
      <c r="A135" t="s">
        <v>20</v>
      </c>
      <c r="B135">
        <v>943</v>
      </c>
      <c r="D135" t="s">
        <v>14</v>
      </c>
      <c r="E135">
        <v>441</v>
      </c>
    </row>
    <row r="136" spans="1:5" x14ac:dyDescent="0.35">
      <c r="A136" s="13" t="s">
        <v>20</v>
      </c>
      <c r="B136">
        <v>2468</v>
      </c>
      <c r="D136" s="10" t="s">
        <v>14</v>
      </c>
      <c r="E136">
        <v>25</v>
      </c>
    </row>
    <row r="137" spans="1:5" x14ac:dyDescent="0.35">
      <c r="A137" s="13" t="s">
        <v>20</v>
      </c>
      <c r="B137">
        <v>2551</v>
      </c>
      <c r="D137" s="10" t="s">
        <v>14</v>
      </c>
      <c r="E137">
        <v>127</v>
      </c>
    </row>
    <row r="138" spans="1:5" hidden="1" x14ac:dyDescent="0.35">
      <c r="A138" t="s">
        <v>20</v>
      </c>
      <c r="B138">
        <v>101</v>
      </c>
      <c r="D138" t="s">
        <v>14</v>
      </c>
      <c r="E138">
        <v>355</v>
      </c>
    </row>
    <row r="139" spans="1:5" hidden="1" x14ac:dyDescent="0.35">
      <c r="A139" t="s">
        <v>20</v>
      </c>
      <c r="B139">
        <v>92</v>
      </c>
      <c r="D139" t="s">
        <v>14</v>
      </c>
      <c r="E139">
        <v>44</v>
      </c>
    </row>
    <row r="140" spans="1:5" x14ac:dyDescent="0.35">
      <c r="A140" s="13" t="s">
        <v>20</v>
      </c>
      <c r="B140">
        <v>62</v>
      </c>
      <c r="D140" s="10" t="s">
        <v>14</v>
      </c>
      <c r="E140">
        <v>67</v>
      </c>
    </row>
    <row r="141" spans="1:5" x14ac:dyDescent="0.35">
      <c r="A141" s="13" t="s">
        <v>20</v>
      </c>
      <c r="B141">
        <v>149</v>
      </c>
      <c r="D141" s="10" t="s">
        <v>14</v>
      </c>
      <c r="E141">
        <v>1068</v>
      </c>
    </row>
    <row r="142" spans="1:5" hidden="1" x14ac:dyDescent="0.35">
      <c r="A142" t="s">
        <v>20</v>
      </c>
      <c r="B142">
        <v>329</v>
      </c>
      <c r="D142" t="s">
        <v>14</v>
      </c>
      <c r="E142">
        <v>424</v>
      </c>
    </row>
    <row r="143" spans="1:5" hidden="1" x14ac:dyDescent="0.35">
      <c r="A143" t="s">
        <v>20</v>
      </c>
      <c r="B143">
        <v>97</v>
      </c>
      <c r="D143" t="s">
        <v>14</v>
      </c>
      <c r="E143">
        <v>151</v>
      </c>
    </row>
    <row r="144" spans="1:5" hidden="1" x14ac:dyDescent="0.35">
      <c r="A144" t="s">
        <v>20</v>
      </c>
      <c r="B144">
        <v>1784</v>
      </c>
      <c r="D144" t="s">
        <v>14</v>
      </c>
      <c r="E144">
        <v>1608</v>
      </c>
    </row>
    <row r="145" spans="1:5" hidden="1" x14ac:dyDescent="0.35">
      <c r="A145" t="s">
        <v>20</v>
      </c>
      <c r="B145">
        <v>1684</v>
      </c>
      <c r="D145" t="s">
        <v>14</v>
      </c>
      <c r="E145">
        <v>941</v>
      </c>
    </row>
    <row r="146" spans="1:5" hidden="1" x14ac:dyDescent="0.35">
      <c r="A146" t="s">
        <v>20</v>
      </c>
      <c r="B146">
        <v>250</v>
      </c>
      <c r="D146" t="s">
        <v>14</v>
      </c>
      <c r="E146">
        <v>1</v>
      </c>
    </row>
    <row r="147" spans="1:5" hidden="1" x14ac:dyDescent="0.35">
      <c r="A147" t="s">
        <v>20</v>
      </c>
      <c r="B147">
        <v>238</v>
      </c>
      <c r="D147" t="s">
        <v>14</v>
      </c>
      <c r="E147">
        <v>40</v>
      </c>
    </row>
    <row r="148" spans="1:5" hidden="1" x14ac:dyDescent="0.35">
      <c r="A148" t="s">
        <v>20</v>
      </c>
      <c r="B148">
        <v>53</v>
      </c>
      <c r="D148" t="s">
        <v>14</v>
      </c>
      <c r="E148">
        <v>3015</v>
      </c>
    </row>
    <row r="149" spans="1:5" hidden="1" x14ac:dyDescent="0.35">
      <c r="A149" t="s">
        <v>20</v>
      </c>
      <c r="B149">
        <v>214</v>
      </c>
      <c r="D149" t="s">
        <v>14</v>
      </c>
      <c r="E149">
        <v>435</v>
      </c>
    </row>
    <row r="150" spans="1:5" hidden="1" x14ac:dyDescent="0.35">
      <c r="A150" t="s">
        <v>20</v>
      </c>
      <c r="B150">
        <v>222</v>
      </c>
      <c r="D150" t="s">
        <v>14</v>
      </c>
      <c r="E150">
        <v>714</v>
      </c>
    </row>
    <row r="151" spans="1:5" hidden="1" x14ac:dyDescent="0.35">
      <c r="A151" t="s">
        <v>20</v>
      </c>
      <c r="B151">
        <v>1884</v>
      </c>
      <c r="D151" t="s">
        <v>14</v>
      </c>
      <c r="E151">
        <v>5497</v>
      </c>
    </row>
    <row r="152" spans="1:5" x14ac:dyDescent="0.35">
      <c r="A152" s="13" t="s">
        <v>20</v>
      </c>
      <c r="B152">
        <v>218</v>
      </c>
      <c r="D152" s="10" t="s">
        <v>14</v>
      </c>
      <c r="E152">
        <v>418</v>
      </c>
    </row>
    <row r="153" spans="1:5" x14ac:dyDescent="0.35">
      <c r="A153" s="13" t="s">
        <v>20</v>
      </c>
      <c r="B153">
        <v>6465</v>
      </c>
      <c r="D153" s="10" t="s">
        <v>14</v>
      </c>
      <c r="E153">
        <v>1439</v>
      </c>
    </row>
    <row r="154" spans="1:5" hidden="1" x14ac:dyDescent="0.35">
      <c r="A154" t="s">
        <v>20</v>
      </c>
      <c r="B154">
        <v>59</v>
      </c>
      <c r="D154" t="s">
        <v>14</v>
      </c>
      <c r="E154">
        <v>15</v>
      </c>
    </row>
    <row r="155" spans="1:5" x14ac:dyDescent="0.35">
      <c r="A155" s="13" t="s">
        <v>20</v>
      </c>
      <c r="B155">
        <v>88</v>
      </c>
      <c r="D155" s="10" t="s">
        <v>14</v>
      </c>
      <c r="E155">
        <v>1999</v>
      </c>
    </row>
    <row r="156" spans="1:5" x14ac:dyDescent="0.35">
      <c r="A156" s="13" t="s">
        <v>20</v>
      </c>
      <c r="B156">
        <v>1697</v>
      </c>
      <c r="D156" s="10" t="s">
        <v>14</v>
      </c>
      <c r="E156">
        <v>118</v>
      </c>
    </row>
    <row r="157" spans="1:5" x14ac:dyDescent="0.35">
      <c r="A157" s="13" t="s">
        <v>20</v>
      </c>
      <c r="B157">
        <v>92</v>
      </c>
      <c r="D157" s="10" t="s">
        <v>14</v>
      </c>
      <c r="E157">
        <v>162</v>
      </c>
    </row>
    <row r="158" spans="1:5" hidden="1" x14ac:dyDescent="0.35">
      <c r="A158" t="s">
        <v>20</v>
      </c>
      <c r="B158">
        <v>186</v>
      </c>
      <c r="D158" t="s">
        <v>14</v>
      </c>
      <c r="E158">
        <v>83</v>
      </c>
    </row>
    <row r="159" spans="1:5" x14ac:dyDescent="0.35">
      <c r="A159" s="13" t="s">
        <v>20</v>
      </c>
      <c r="B159">
        <v>138</v>
      </c>
      <c r="D159" s="10" t="s">
        <v>14</v>
      </c>
      <c r="E159">
        <v>747</v>
      </c>
    </row>
    <row r="160" spans="1:5" hidden="1" x14ac:dyDescent="0.35">
      <c r="A160" t="s">
        <v>20</v>
      </c>
      <c r="B160">
        <v>261</v>
      </c>
      <c r="D160" t="s">
        <v>14</v>
      </c>
      <c r="E160">
        <v>84</v>
      </c>
    </row>
    <row r="161" spans="1:5" hidden="1" x14ac:dyDescent="0.35">
      <c r="A161" t="s">
        <v>20</v>
      </c>
      <c r="B161">
        <v>107</v>
      </c>
      <c r="D161" t="s">
        <v>14</v>
      </c>
      <c r="E161">
        <v>91</v>
      </c>
    </row>
    <row r="162" spans="1:5" hidden="1" x14ac:dyDescent="0.35">
      <c r="A162" t="s">
        <v>20</v>
      </c>
      <c r="B162">
        <v>199</v>
      </c>
      <c r="D162" t="s">
        <v>14</v>
      </c>
      <c r="E162">
        <v>792</v>
      </c>
    </row>
    <row r="163" spans="1:5" x14ac:dyDescent="0.35">
      <c r="A163" s="13" t="s">
        <v>20</v>
      </c>
      <c r="B163">
        <v>5512</v>
      </c>
      <c r="D163" s="10" t="s">
        <v>14</v>
      </c>
      <c r="E163">
        <v>32</v>
      </c>
    </row>
    <row r="164" spans="1:5" hidden="1" x14ac:dyDescent="0.35">
      <c r="A164" t="s">
        <v>20</v>
      </c>
      <c r="B164">
        <v>86</v>
      </c>
      <c r="D164" t="s">
        <v>14</v>
      </c>
      <c r="E164">
        <v>186</v>
      </c>
    </row>
    <row r="165" spans="1:5" hidden="1" x14ac:dyDescent="0.35">
      <c r="A165" t="s">
        <v>20</v>
      </c>
      <c r="B165">
        <v>2768</v>
      </c>
      <c r="D165" t="s">
        <v>14</v>
      </c>
      <c r="E165">
        <v>605</v>
      </c>
    </row>
    <row r="166" spans="1:5" hidden="1" x14ac:dyDescent="0.35">
      <c r="A166" t="s">
        <v>20</v>
      </c>
      <c r="B166">
        <v>48</v>
      </c>
      <c r="D166" t="s">
        <v>14</v>
      </c>
      <c r="E166">
        <v>1</v>
      </c>
    </row>
    <row r="167" spans="1:5" hidden="1" x14ac:dyDescent="0.35">
      <c r="A167" t="s">
        <v>20</v>
      </c>
      <c r="B167">
        <v>87</v>
      </c>
      <c r="D167" t="s">
        <v>14</v>
      </c>
      <c r="E167">
        <v>31</v>
      </c>
    </row>
    <row r="168" spans="1:5" hidden="1" x14ac:dyDescent="0.35">
      <c r="A168" t="s">
        <v>20</v>
      </c>
      <c r="B168">
        <v>1894</v>
      </c>
      <c r="D168" t="s">
        <v>14</v>
      </c>
      <c r="E168">
        <v>1181</v>
      </c>
    </row>
    <row r="169" spans="1:5" hidden="1" x14ac:dyDescent="0.35">
      <c r="A169" t="s">
        <v>20</v>
      </c>
      <c r="B169">
        <v>282</v>
      </c>
      <c r="D169" t="s">
        <v>14</v>
      </c>
      <c r="E169">
        <v>39</v>
      </c>
    </row>
    <row r="170" spans="1:5" x14ac:dyDescent="0.35">
      <c r="A170" s="13" t="s">
        <v>20</v>
      </c>
      <c r="B170">
        <v>116</v>
      </c>
      <c r="D170" s="10" t="s">
        <v>14</v>
      </c>
      <c r="E170">
        <v>46</v>
      </c>
    </row>
    <row r="171" spans="1:5" hidden="1" x14ac:dyDescent="0.35">
      <c r="A171" t="s">
        <v>20</v>
      </c>
      <c r="B171">
        <v>83</v>
      </c>
      <c r="D171" t="s">
        <v>14</v>
      </c>
      <c r="E171">
        <v>105</v>
      </c>
    </row>
    <row r="172" spans="1:5" x14ac:dyDescent="0.35">
      <c r="A172" s="13" t="s">
        <v>20</v>
      </c>
      <c r="B172">
        <v>91</v>
      </c>
      <c r="D172" s="10" t="s">
        <v>14</v>
      </c>
      <c r="E172">
        <v>535</v>
      </c>
    </row>
    <row r="173" spans="1:5" x14ac:dyDescent="0.35">
      <c r="A173" s="13" t="s">
        <v>20</v>
      </c>
      <c r="B173">
        <v>546</v>
      </c>
      <c r="D173" s="10" t="s">
        <v>14</v>
      </c>
      <c r="E173">
        <v>16</v>
      </c>
    </row>
    <row r="174" spans="1:5" x14ac:dyDescent="0.35">
      <c r="A174" s="13" t="s">
        <v>20</v>
      </c>
      <c r="B174">
        <v>393</v>
      </c>
      <c r="D174" s="10" t="s">
        <v>14</v>
      </c>
      <c r="E174">
        <v>575</v>
      </c>
    </row>
    <row r="175" spans="1:5" hidden="1" x14ac:dyDescent="0.35">
      <c r="A175" t="s">
        <v>20</v>
      </c>
      <c r="B175">
        <v>133</v>
      </c>
      <c r="D175" t="s">
        <v>14</v>
      </c>
      <c r="E175">
        <v>1120</v>
      </c>
    </row>
    <row r="176" spans="1:5" hidden="1" x14ac:dyDescent="0.35">
      <c r="A176" t="s">
        <v>20</v>
      </c>
      <c r="B176">
        <v>254</v>
      </c>
      <c r="D176" t="s">
        <v>14</v>
      </c>
      <c r="E176">
        <v>113</v>
      </c>
    </row>
    <row r="177" spans="1:5" x14ac:dyDescent="0.35">
      <c r="A177" s="13" t="s">
        <v>20</v>
      </c>
      <c r="B177">
        <v>176</v>
      </c>
      <c r="D177" s="10" t="s">
        <v>14</v>
      </c>
      <c r="E177">
        <v>1538</v>
      </c>
    </row>
    <row r="178" spans="1:5" x14ac:dyDescent="0.35">
      <c r="A178" s="13" t="s">
        <v>20</v>
      </c>
      <c r="B178">
        <v>337</v>
      </c>
      <c r="D178" s="10" t="s">
        <v>14</v>
      </c>
      <c r="E178">
        <v>9</v>
      </c>
    </row>
    <row r="179" spans="1:5" hidden="1" x14ac:dyDescent="0.35">
      <c r="A179" t="s">
        <v>20</v>
      </c>
      <c r="B179">
        <v>107</v>
      </c>
      <c r="D179" t="s">
        <v>14</v>
      </c>
      <c r="E179">
        <v>554</v>
      </c>
    </row>
    <row r="180" spans="1:5" x14ac:dyDescent="0.35">
      <c r="A180" s="13" t="s">
        <v>20</v>
      </c>
      <c r="B180">
        <v>183</v>
      </c>
      <c r="D180" s="10" t="s">
        <v>14</v>
      </c>
      <c r="E180">
        <v>648</v>
      </c>
    </row>
    <row r="181" spans="1:5" hidden="1" x14ac:dyDescent="0.35">
      <c r="A181" t="s">
        <v>20</v>
      </c>
      <c r="B181">
        <v>72</v>
      </c>
      <c r="D181" t="s">
        <v>14</v>
      </c>
      <c r="E181">
        <v>21</v>
      </c>
    </row>
    <row r="182" spans="1:5" hidden="1" x14ac:dyDescent="0.35">
      <c r="A182" t="s">
        <v>20</v>
      </c>
      <c r="B182">
        <v>295</v>
      </c>
      <c r="D182" t="s">
        <v>14</v>
      </c>
      <c r="E182">
        <v>54</v>
      </c>
    </row>
    <row r="183" spans="1:5" x14ac:dyDescent="0.35">
      <c r="A183" s="13" t="s">
        <v>20</v>
      </c>
      <c r="B183">
        <v>142</v>
      </c>
      <c r="D183" s="10" t="s">
        <v>14</v>
      </c>
      <c r="E183">
        <v>120</v>
      </c>
    </row>
    <row r="184" spans="1:5" hidden="1" x14ac:dyDescent="0.35">
      <c r="A184" t="s">
        <v>20</v>
      </c>
      <c r="B184">
        <v>85</v>
      </c>
      <c r="D184" t="s">
        <v>14</v>
      </c>
      <c r="E184">
        <v>579</v>
      </c>
    </row>
    <row r="185" spans="1:5" x14ac:dyDescent="0.35">
      <c r="A185" s="13" t="s">
        <v>20</v>
      </c>
      <c r="B185">
        <v>659</v>
      </c>
      <c r="D185" s="10" t="s">
        <v>14</v>
      </c>
      <c r="E185">
        <v>2072</v>
      </c>
    </row>
    <row r="186" spans="1:5" hidden="1" x14ac:dyDescent="0.35">
      <c r="A186" t="s">
        <v>20</v>
      </c>
      <c r="B186">
        <v>121</v>
      </c>
      <c r="D186" t="s">
        <v>14</v>
      </c>
      <c r="E186">
        <v>0</v>
      </c>
    </row>
    <row r="187" spans="1:5" x14ac:dyDescent="0.35">
      <c r="A187" s="13" t="s">
        <v>20</v>
      </c>
      <c r="B187">
        <v>3742</v>
      </c>
      <c r="D187" s="10" t="s">
        <v>14</v>
      </c>
      <c r="E187">
        <v>1796</v>
      </c>
    </row>
    <row r="188" spans="1:5" x14ac:dyDescent="0.35">
      <c r="A188" s="13" t="s">
        <v>20</v>
      </c>
      <c r="B188">
        <v>223</v>
      </c>
      <c r="D188" s="10" t="s">
        <v>14</v>
      </c>
      <c r="E188">
        <v>62</v>
      </c>
    </row>
    <row r="189" spans="1:5" hidden="1" x14ac:dyDescent="0.35">
      <c r="A189" t="s">
        <v>20</v>
      </c>
      <c r="B189">
        <v>133</v>
      </c>
      <c r="D189" t="s">
        <v>14</v>
      </c>
      <c r="E189">
        <v>347</v>
      </c>
    </row>
    <row r="190" spans="1:5" x14ac:dyDescent="0.35">
      <c r="A190" s="13" t="s">
        <v>20</v>
      </c>
      <c r="B190">
        <v>5168</v>
      </c>
      <c r="D190" s="10" t="s">
        <v>14</v>
      </c>
      <c r="E190">
        <v>19</v>
      </c>
    </row>
    <row r="191" spans="1:5" hidden="1" x14ac:dyDescent="0.35">
      <c r="A191" t="s">
        <v>20</v>
      </c>
      <c r="B191">
        <v>307</v>
      </c>
      <c r="D191" t="s">
        <v>14</v>
      </c>
      <c r="E191">
        <v>1258</v>
      </c>
    </row>
    <row r="192" spans="1:5" x14ac:dyDescent="0.35">
      <c r="A192" s="13" t="s">
        <v>20</v>
      </c>
      <c r="B192">
        <v>2441</v>
      </c>
      <c r="D192" s="10" t="s">
        <v>14</v>
      </c>
      <c r="E192">
        <v>362</v>
      </c>
    </row>
    <row r="193" spans="1:5" x14ac:dyDescent="0.35">
      <c r="A193" s="13" t="s">
        <v>20</v>
      </c>
      <c r="B193">
        <v>1385</v>
      </c>
      <c r="D193" s="10" t="s">
        <v>14</v>
      </c>
      <c r="E193">
        <v>133</v>
      </c>
    </row>
    <row r="194" spans="1:5" x14ac:dyDescent="0.35">
      <c r="A194" s="13" t="s">
        <v>20</v>
      </c>
      <c r="B194">
        <v>190</v>
      </c>
      <c r="D194" s="10" t="s">
        <v>14</v>
      </c>
      <c r="E194">
        <v>846</v>
      </c>
    </row>
    <row r="195" spans="1:5" x14ac:dyDescent="0.35">
      <c r="A195" s="13" t="s">
        <v>20</v>
      </c>
      <c r="B195">
        <v>470</v>
      </c>
      <c r="D195" s="10" t="s">
        <v>14</v>
      </c>
      <c r="E195">
        <v>10</v>
      </c>
    </row>
    <row r="196" spans="1:5" hidden="1" x14ac:dyDescent="0.35">
      <c r="A196" t="s">
        <v>20</v>
      </c>
      <c r="B196">
        <v>253</v>
      </c>
      <c r="D196" t="s">
        <v>14</v>
      </c>
      <c r="E196">
        <v>191</v>
      </c>
    </row>
    <row r="197" spans="1:5" hidden="1" x14ac:dyDescent="0.35">
      <c r="A197" t="s">
        <v>20</v>
      </c>
      <c r="B197">
        <v>1113</v>
      </c>
      <c r="D197" t="s">
        <v>14</v>
      </c>
      <c r="E197">
        <v>1979</v>
      </c>
    </row>
    <row r="198" spans="1:5" x14ac:dyDescent="0.35">
      <c r="A198" s="13" t="s">
        <v>20</v>
      </c>
      <c r="B198">
        <v>2283</v>
      </c>
      <c r="D198" s="10" t="s">
        <v>14</v>
      </c>
      <c r="E198">
        <v>63</v>
      </c>
    </row>
    <row r="199" spans="1:5" hidden="1" x14ac:dyDescent="0.35">
      <c r="A199" t="s">
        <v>20</v>
      </c>
      <c r="B199">
        <v>1095</v>
      </c>
      <c r="D199" t="s">
        <v>14</v>
      </c>
      <c r="E199">
        <v>6080</v>
      </c>
    </row>
    <row r="200" spans="1:5" x14ac:dyDescent="0.35">
      <c r="A200" s="13" t="s">
        <v>20</v>
      </c>
      <c r="B200">
        <v>1690</v>
      </c>
      <c r="D200" s="10" t="s">
        <v>14</v>
      </c>
      <c r="E200">
        <v>80</v>
      </c>
    </row>
    <row r="201" spans="1:5" x14ac:dyDescent="0.35">
      <c r="A201" s="13" t="s">
        <v>20</v>
      </c>
      <c r="B201">
        <v>191</v>
      </c>
      <c r="D201" s="10" t="s">
        <v>14</v>
      </c>
      <c r="E201">
        <v>9</v>
      </c>
    </row>
    <row r="202" spans="1:5" x14ac:dyDescent="0.35">
      <c r="A202" s="13" t="s">
        <v>20</v>
      </c>
      <c r="B202">
        <v>2013</v>
      </c>
      <c r="D202" s="10" t="s">
        <v>14</v>
      </c>
      <c r="E202">
        <v>1784</v>
      </c>
    </row>
    <row r="203" spans="1:5" hidden="1" x14ac:dyDescent="0.35">
      <c r="A203" t="s">
        <v>20</v>
      </c>
      <c r="B203">
        <v>1703</v>
      </c>
      <c r="D203" t="s">
        <v>14</v>
      </c>
      <c r="E203">
        <v>243</v>
      </c>
    </row>
    <row r="204" spans="1:5" hidden="1" x14ac:dyDescent="0.35">
      <c r="A204" t="s">
        <v>20</v>
      </c>
      <c r="B204">
        <v>80</v>
      </c>
      <c r="D204" t="s">
        <v>14</v>
      </c>
      <c r="E204">
        <v>1296</v>
      </c>
    </row>
    <row r="205" spans="1:5" hidden="1" x14ac:dyDescent="0.35">
      <c r="A205" t="s">
        <v>20</v>
      </c>
      <c r="B205">
        <v>41</v>
      </c>
      <c r="D205" t="s">
        <v>14</v>
      </c>
      <c r="E205">
        <v>77</v>
      </c>
    </row>
    <row r="206" spans="1:5" x14ac:dyDescent="0.35">
      <c r="A206" s="13" t="s">
        <v>20</v>
      </c>
      <c r="B206">
        <v>187</v>
      </c>
      <c r="D206" s="10" t="s">
        <v>14</v>
      </c>
      <c r="E206">
        <v>395</v>
      </c>
    </row>
    <row r="207" spans="1:5" hidden="1" x14ac:dyDescent="0.35">
      <c r="A207" t="s">
        <v>20</v>
      </c>
      <c r="B207">
        <v>2875</v>
      </c>
      <c r="D207" t="s">
        <v>14</v>
      </c>
      <c r="E207">
        <v>49</v>
      </c>
    </row>
    <row r="208" spans="1:5" hidden="1" x14ac:dyDescent="0.35">
      <c r="A208" t="s">
        <v>20</v>
      </c>
      <c r="B208">
        <v>88</v>
      </c>
      <c r="D208" t="s">
        <v>14</v>
      </c>
      <c r="E208">
        <v>180</v>
      </c>
    </row>
    <row r="209" spans="1:5" hidden="1" x14ac:dyDescent="0.35">
      <c r="A209" t="s">
        <v>20</v>
      </c>
      <c r="B209">
        <v>191</v>
      </c>
      <c r="D209" t="s">
        <v>14</v>
      </c>
      <c r="E209">
        <v>2690</v>
      </c>
    </row>
    <row r="210" spans="1:5" hidden="1" x14ac:dyDescent="0.35">
      <c r="A210" t="s">
        <v>20</v>
      </c>
      <c r="B210">
        <v>139</v>
      </c>
      <c r="D210" t="s">
        <v>14</v>
      </c>
      <c r="E210">
        <v>2779</v>
      </c>
    </row>
    <row r="211" spans="1:5" hidden="1" x14ac:dyDescent="0.35">
      <c r="A211" t="s">
        <v>20</v>
      </c>
      <c r="B211">
        <v>186</v>
      </c>
      <c r="D211" t="s">
        <v>14</v>
      </c>
      <c r="E211">
        <v>92</v>
      </c>
    </row>
    <row r="212" spans="1:5" x14ac:dyDescent="0.35">
      <c r="A212" s="13" t="s">
        <v>20</v>
      </c>
      <c r="B212">
        <v>112</v>
      </c>
      <c r="D212" s="10" t="s">
        <v>14</v>
      </c>
      <c r="E212">
        <v>1028</v>
      </c>
    </row>
    <row r="213" spans="1:5" x14ac:dyDescent="0.35">
      <c r="A213" s="13" t="s">
        <v>20</v>
      </c>
      <c r="B213">
        <v>101</v>
      </c>
      <c r="D213" s="10" t="s">
        <v>14</v>
      </c>
      <c r="E213">
        <v>26</v>
      </c>
    </row>
    <row r="214" spans="1:5" hidden="1" x14ac:dyDescent="0.35">
      <c r="A214" t="s">
        <v>20</v>
      </c>
      <c r="B214">
        <v>206</v>
      </c>
      <c r="D214" t="s">
        <v>14</v>
      </c>
      <c r="E214">
        <v>1790</v>
      </c>
    </row>
    <row r="215" spans="1:5" hidden="1" x14ac:dyDescent="0.35">
      <c r="A215" t="s">
        <v>20</v>
      </c>
      <c r="B215">
        <v>154</v>
      </c>
      <c r="D215" t="s">
        <v>14</v>
      </c>
      <c r="E215">
        <v>37</v>
      </c>
    </row>
    <row r="216" spans="1:5" hidden="1" x14ac:dyDescent="0.35">
      <c r="A216" t="s">
        <v>20</v>
      </c>
      <c r="B216">
        <v>5966</v>
      </c>
      <c r="D216" t="s">
        <v>14</v>
      </c>
      <c r="E216">
        <v>35</v>
      </c>
    </row>
    <row r="217" spans="1:5" x14ac:dyDescent="0.35">
      <c r="A217" s="13" t="s">
        <v>20</v>
      </c>
      <c r="B217">
        <v>169</v>
      </c>
      <c r="D217" s="10" t="s">
        <v>14</v>
      </c>
      <c r="E217">
        <v>558</v>
      </c>
    </row>
    <row r="218" spans="1:5" hidden="1" x14ac:dyDescent="0.35">
      <c r="A218" t="s">
        <v>20</v>
      </c>
      <c r="B218">
        <v>2106</v>
      </c>
      <c r="D218" t="s">
        <v>14</v>
      </c>
      <c r="E218">
        <v>64</v>
      </c>
    </row>
    <row r="219" spans="1:5" x14ac:dyDescent="0.35">
      <c r="A219" s="13" t="s">
        <v>20</v>
      </c>
      <c r="B219">
        <v>131</v>
      </c>
      <c r="D219" s="10" t="s">
        <v>14</v>
      </c>
      <c r="E219">
        <v>245</v>
      </c>
    </row>
    <row r="220" spans="1:5" hidden="1" x14ac:dyDescent="0.35">
      <c r="A220" t="s">
        <v>20</v>
      </c>
      <c r="B220">
        <v>84</v>
      </c>
      <c r="D220" t="s">
        <v>14</v>
      </c>
      <c r="E220">
        <v>71</v>
      </c>
    </row>
    <row r="221" spans="1:5" hidden="1" x14ac:dyDescent="0.35">
      <c r="A221" t="s">
        <v>20</v>
      </c>
      <c r="B221">
        <v>155</v>
      </c>
      <c r="D221" t="s">
        <v>14</v>
      </c>
      <c r="E221">
        <v>42</v>
      </c>
    </row>
    <row r="222" spans="1:5" x14ac:dyDescent="0.35">
      <c r="A222" s="13" t="s">
        <v>20</v>
      </c>
      <c r="B222">
        <v>189</v>
      </c>
      <c r="D222" s="10" t="s">
        <v>14</v>
      </c>
      <c r="E222">
        <v>156</v>
      </c>
    </row>
    <row r="223" spans="1:5" x14ac:dyDescent="0.35">
      <c r="A223" s="13" t="s">
        <v>20</v>
      </c>
      <c r="B223">
        <v>4799</v>
      </c>
      <c r="D223" s="10" t="s">
        <v>14</v>
      </c>
      <c r="E223">
        <v>1368</v>
      </c>
    </row>
    <row r="224" spans="1:5" hidden="1" x14ac:dyDescent="0.35">
      <c r="A224" t="s">
        <v>20</v>
      </c>
      <c r="B224">
        <v>1137</v>
      </c>
      <c r="D224" t="s">
        <v>14</v>
      </c>
      <c r="E224">
        <v>102</v>
      </c>
    </row>
    <row r="225" spans="1:5" x14ac:dyDescent="0.35">
      <c r="A225" s="13" t="s">
        <v>20</v>
      </c>
      <c r="B225">
        <v>1152</v>
      </c>
      <c r="D225" s="10" t="s">
        <v>14</v>
      </c>
      <c r="E225">
        <v>86</v>
      </c>
    </row>
    <row r="226" spans="1:5" hidden="1" x14ac:dyDescent="0.35">
      <c r="A226" t="s">
        <v>20</v>
      </c>
      <c r="B226">
        <v>50</v>
      </c>
      <c r="D226" t="s">
        <v>14</v>
      </c>
      <c r="E226">
        <v>253</v>
      </c>
    </row>
    <row r="227" spans="1:5" hidden="1" x14ac:dyDescent="0.35">
      <c r="A227" t="s">
        <v>20</v>
      </c>
      <c r="B227">
        <v>3059</v>
      </c>
      <c r="D227" t="s">
        <v>14</v>
      </c>
      <c r="E227">
        <v>157</v>
      </c>
    </row>
    <row r="228" spans="1:5" hidden="1" x14ac:dyDescent="0.35">
      <c r="A228" t="s">
        <v>20</v>
      </c>
      <c r="B228">
        <v>34</v>
      </c>
      <c r="D228" t="s">
        <v>14</v>
      </c>
      <c r="E228">
        <v>183</v>
      </c>
    </row>
    <row r="229" spans="1:5" hidden="1" x14ac:dyDescent="0.35">
      <c r="A229" t="s">
        <v>20</v>
      </c>
      <c r="B229">
        <v>220</v>
      </c>
      <c r="D229" t="s">
        <v>14</v>
      </c>
      <c r="E229">
        <v>82</v>
      </c>
    </row>
    <row r="230" spans="1:5" hidden="1" x14ac:dyDescent="0.35">
      <c r="A230" t="s">
        <v>20</v>
      </c>
      <c r="B230">
        <v>1604</v>
      </c>
      <c r="D230" t="s">
        <v>14</v>
      </c>
      <c r="E230">
        <v>1</v>
      </c>
    </row>
    <row r="231" spans="1:5" hidden="1" x14ac:dyDescent="0.35">
      <c r="A231" t="s">
        <v>20</v>
      </c>
      <c r="B231">
        <v>454</v>
      </c>
      <c r="D231" t="s">
        <v>14</v>
      </c>
      <c r="E231">
        <v>1198</v>
      </c>
    </row>
    <row r="232" spans="1:5" hidden="1" x14ac:dyDescent="0.35">
      <c r="A232" t="s">
        <v>20</v>
      </c>
      <c r="B232">
        <v>123</v>
      </c>
      <c r="D232" t="s">
        <v>14</v>
      </c>
      <c r="E232">
        <v>648</v>
      </c>
    </row>
    <row r="233" spans="1:5" hidden="1" x14ac:dyDescent="0.35">
      <c r="A233" t="s">
        <v>20</v>
      </c>
      <c r="B233">
        <v>299</v>
      </c>
      <c r="D233" t="s">
        <v>14</v>
      </c>
      <c r="E233">
        <v>64</v>
      </c>
    </row>
    <row r="234" spans="1:5" hidden="1" x14ac:dyDescent="0.35">
      <c r="A234" t="s">
        <v>20</v>
      </c>
      <c r="B234">
        <v>2237</v>
      </c>
      <c r="D234" t="s">
        <v>14</v>
      </c>
      <c r="E234">
        <v>62</v>
      </c>
    </row>
    <row r="235" spans="1:5" hidden="1" x14ac:dyDescent="0.35">
      <c r="A235" t="s">
        <v>20</v>
      </c>
      <c r="B235">
        <v>645</v>
      </c>
      <c r="D235" t="s">
        <v>14</v>
      </c>
      <c r="E235">
        <v>750</v>
      </c>
    </row>
    <row r="236" spans="1:5" hidden="1" x14ac:dyDescent="0.35">
      <c r="A236" t="s">
        <v>20</v>
      </c>
      <c r="B236">
        <v>484</v>
      </c>
      <c r="D236" t="s">
        <v>14</v>
      </c>
      <c r="E236">
        <v>105</v>
      </c>
    </row>
    <row r="237" spans="1:5" x14ac:dyDescent="0.35">
      <c r="A237" s="13" t="s">
        <v>20</v>
      </c>
      <c r="B237">
        <v>154</v>
      </c>
      <c r="D237" s="10" t="s">
        <v>14</v>
      </c>
      <c r="E237">
        <v>2604</v>
      </c>
    </row>
    <row r="238" spans="1:5" x14ac:dyDescent="0.35">
      <c r="A238" s="13" t="s">
        <v>20</v>
      </c>
      <c r="B238">
        <v>82</v>
      </c>
      <c r="D238" s="10" t="s">
        <v>14</v>
      </c>
      <c r="E238">
        <v>65</v>
      </c>
    </row>
    <row r="239" spans="1:5" hidden="1" x14ac:dyDescent="0.35">
      <c r="A239" t="s">
        <v>20</v>
      </c>
      <c r="B239">
        <v>134</v>
      </c>
      <c r="D239" t="s">
        <v>14</v>
      </c>
      <c r="E239">
        <v>94</v>
      </c>
    </row>
    <row r="240" spans="1:5" hidden="1" x14ac:dyDescent="0.35">
      <c r="A240" t="s">
        <v>20</v>
      </c>
      <c r="B240">
        <v>5203</v>
      </c>
      <c r="D240" t="s">
        <v>14</v>
      </c>
      <c r="E240">
        <v>257</v>
      </c>
    </row>
    <row r="241" spans="1:5" x14ac:dyDescent="0.35">
      <c r="A241" s="13" t="s">
        <v>20</v>
      </c>
      <c r="B241">
        <v>94</v>
      </c>
      <c r="D241" s="10" t="s">
        <v>14</v>
      </c>
      <c r="E241">
        <v>2928</v>
      </c>
    </row>
    <row r="242" spans="1:5" hidden="1" x14ac:dyDescent="0.35">
      <c r="A242" t="s">
        <v>20</v>
      </c>
      <c r="B242">
        <v>205</v>
      </c>
      <c r="D242" t="s">
        <v>14</v>
      </c>
      <c r="E242">
        <v>4697</v>
      </c>
    </row>
    <row r="243" spans="1:5" hidden="1" x14ac:dyDescent="0.35">
      <c r="A243" t="s">
        <v>20</v>
      </c>
      <c r="B243">
        <v>92</v>
      </c>
      <c r="D243" t="s">
        <v>14</v>
      </c>
      <c r="E243">
        <v>2915</v>
      </c>
    </row>
    <row r="244" spans="1:5" hidden="1" x14ac:dyDescent="0.35">
      <c r="A244" t="s">
        <v>20</v>
      </c>
      <c r="B244">
        <v>219</v>
      </c>
      <c r="D244" t="s">
        <v>14</v>
      </c>
      <c r="E244">
        <v>18</v>
      </c>
    </row>
    <row r="245" spans="1:5" hidden="1" x14ac:dyDescent="0.35">
      <c r="A245" t="s">
        <v>20</v>
      </c>
      <c r="B245">
        <v>2526</v>
      </c>
      <c r="D245" t="s">
        <v>14</v>
      </c>
      <c r="E245">
        <v>602</v>
      </c>
    </row>
    <row r="246" spans="1:5" hidden="1" x14ac:dyDescent="0.35">
      <c r="A246" t="s">
        <v>20</v>
      </c>
      <c r="B246">
        <v>94</v>
      </c>
      <c r="D246" t="s">
        <v>14</v>
      </c>
      <c r="E246">
        <v>1</v>
      </c>
    </row>
    <row r="247" spans="1:5" hidden="1" x14ac:dyDescent="0.35">
      <c r="A247" t="s">
        <v>20</v>
      </c>
      <c r="B247">
        <v>1713</v>
      </c>
      <c r="D247" t="s">
        <v>14</v>
      </c>
      <c r="E247">
        <v>3868</v>
      </c>
    </row>
    <row r="248" spans="1:5" hidden="1" x14ac:dyDescent="0.35">
      <c r="A248" t="s">
        <v>20</v>
      </c>
      <c r="B248">
        <v>249</v>
      </c>
      <c r="D248" t="s">
        <v>14</v>
      </c>
      <c r="E248">
        <v>504</v>
      </c>
    </row>
    <row r="249" spans="1:5" hidden="1" x14ac:dyDescent="0.35">
      <c r="A249" t="s">
        <v>20</v>
      </c>
      <c r="B249">
        <v>192</v>
      </c>
      <c r="D249" t="s">
        <v>14</v>
      </c>
      <c r="E249">
        <v>14</v>
      </c>
    </row>
    <row r="250" spans="1:5" hidden="1" x14ac:dyDescent="0.35">
      <c r="A250" t="s">
        <v>20</v>
      </c>
      <c r="B250">
        <v>247</v>
      </c>
      <c r="D250" t="s">
        <v>14</v>
      </c>
      <c r="E250">
        <v>750</v>
      </c>
    </row>
    <row r="251" spans="1:5" hidden="1" x14ac:dyDescent="0.35">
      <c r="A251" t="s">
        <v>20</v>
      </c>
      <c r="B251">
        <v>2293</v>
      </c>
      <c r="D251" t="s">
        <v>14</v>
      </c>
      <c r="E251">
        <v>77</v>
      </c>
    </row>
    <row r="252" spans="1:5" x14ac:dyDescent="0.35">
      <c r="A252" s="13" t="s">
        <v>20</v>
      </c>
      <c r="B252">
        <v>3131</v>
      </c>
      <c r="D252" s="10" t="s">
        <v>14</v>
      </c>
      <c r="E252">
        <v>752</v>
      </c>
    </row>
    <row r="253" spans="1:5" x14ac:dyDescent="0.35">
      <c r="A253" s="13" t="s">
        <v>20</v>
      </c>
      <c r="B253">
        <v>143</v>
      </c>
      <c r="D253" s="10" t="s">
        <v>14</v>
      </c>
      <c r="E253">
        <v>131</v>
      </c>
    </row>
    <row r="254" spans="1:5" hidden="1" x14ac:dyDescent="0.35">
      <c r="A254" t="s">
        <v>20</v>
      </c>
      <c r="B254">
        <v>296</v>
      </c>
      <c r="D254" t="s">
        <v>14</v>
      </c>
      <c r="E254">
        <v>87</v>
      </c>
    </row>
    <row r="255" spans="1:5" x14ac:dyDescent="0.35">
      <c r="A255" s="13" t="s">
        <v>20</v>
      </c>
      <c r="B255">
        <v>170</v>
      </c>
      <c r="D255" s="10" t="s">
        <v>14</v>
      </c>
      <c r="E255">
        <v>1063</v>
      </c>
    </row>
    <row r="256" spans="1:5" hidden="1" x14ac:dyDescent="0.35">
      <c r="A256" t="s">
        <v>20</v>
      </c>
      <c r="B256">
        <v>86</v>
      </c>
      <c r="D256" t="s">
        <v>14</v>
      </c>
      <c r="E256">
        <v>76</v>
      </c>
    </row>
    <row r="257" spans="1:5" hidden="1" x14ac:dyDescent="0.35">
      <c r="A257" t="s">
        <v>20</v>
      </c>
      <c r="B257">
        <v>6286</v>
      </c>
      <c r="D257" t="s">
        <v>14</v>
      </c>
      <c r="E257">
        <v>4428</v>
      </c>
    </row>
    <row r="258" spans="1:5" x14ac:dyDescent="0.35">
      <c r="A258" s="13" t="s">
        <v>20</v>
      </c>
      <c r="B258">
        <v>3727</v>
      </c>
      <c r="D258" s="10" t="s">
        <v>14</v>
      </c>
      <c r="E258">
        <v>58</v>
      </c>
    </row>
    <row r="259" spans="1:5" hidden="1" x14ac:dyDescent="0.35">
      <c r="A259" t="s">
        <v>20</v>
      </c>
      <c r="B259">
        <v>1605</v>
      </c>
      <c r="D259" t="s">
        <v>14</v>
      </c>
      <c r="E259">
        <v>111</v>
      </c>
    </row>
    <row r="260" spans="1:5" hidden="1" x14ac:dyDescent="0.35">
      <c r="A260" t="s">
        <v>20</v>
      </c>
      <c r="B260">
        <v>2120</v>
      </c>
      <c r="D260" t="s">
        <v>14</v>
      </c>
      <c r="E260">
        <v>2955</v>
      </c>
    </row>
    <row r="261" spans="1:5" hidden="1" x14ac:dyDescent="0.35">
      <c r="A261" t="s">
        <v>20</v>
      </c>
      <c r="B261">
        <v>50</v>
      </c>
      <c r="D261" t="s">
        <v>14</v>
      </c>
      <c r="E261">
        <v>1657</v>
      </c>
    </row>
    <row r="262" spans="1:5" hidden="1" x14ac:dyDescent="0.35">
      <c r="A262" t="s">
        <v>20</v>
      </c>
      <c r="B262">
        <v>2080</v>
      </c>
      <c r="D262" t="s">
        <v>14</v>
      </c>
      <c r="E262">
        <v>926</v>
      </c>
    </row>
    <row r="263" spans="1:5" x14ac:dyDescent="0.35">
      <c r="A263" s="13" t="s">
        <v>20</v>
      </c>
      <c r="B263">
        <v>2105</v>
      </c>
      <c r="D263" s="10" t="s">
        <v>14</v>
      </c>
      <c r="E263">
        <v>77</v>
      </c>
    </row>
    <row r="264" spans="1:5" hidden="1" x14ac:dyDescent="0.35">
      <c r="A264" t="s">
        <v>20</v>
      </c>
      <c r="B264">
        <v>2436</v>
      </c>
      <c r="D264" t="s">
        <v>14</v>
      </c>
      <c r="E264">
        <v>1748</v>
      </c>
    </row>
    <row r="265" spans="1:5" hidden="1" x14ac:dyDescent="0.35">
      <c r="A265" t="s">
        <v>20</v>
      </c>
      <c r="B265">
        <v>80</v>
      </c>
      <c r="D265" t="s">
        <v>14</v>
      </c>
      <c r="E265">
        <v>79</v>
      </c>
    </row>
    <row r="266" spans="1:5" hidden="1" x14ac:dyDescent="0.35">
      <c r="A266" t="s">
        <v>20</v>
      </c>
      <c r="B266">
        <v>42</v>
      </c>
      <c r="D266" t="s">
        <v>14</v>
      </c>
      <c r="E266">
        <v>889</v>
      </c>
    </row>
    <row r="267" spans="1:5" hidden="1" x14ac:dyDescent="0.35">
      <c r="A267" t="s">
        <v>20</v>
      </c>
      <c r="B267">
        <v>139</v>
      </c>
      <c r="D267" t="s">
        <v>14</v>
      </c>
      <c r="E267">
        <v>56</v>
      </c>
    </row>
    <row r="268" spans="1:5" x14ac:dyDescent="0.35">
      <c r="A268" s="13" t="s">
        <v>20</v>
      </c>
      <c r="B268">
        <v>159</v>
      </c>
      <c r="D268" s="10" t="s">
        <v>14</v>
      </c>
      <c r="E268">
        <v>1</v>
      </c>
    </row>
    <row r="269" spans="1:5" hidden="1" x14ac:dyDescent="0.35">
      <c r="A269" t="s">
        <v>20</v>
      </c>
      <c r="B269">
        <v>381</v>
      </c>
      <c r="D269" t="s">
        <v>14</v>
      </c>
      <c r="E269">
        <v>83</v>
      </c>
    </row>
    <row r="270" spans="1:5" hidden="1" x14ac:dyDescent="0.35">
      <c r="A270" t="s">
        <v>20</v>
      </c>
      <c r="B270">
        <v>194</v>
      </c>
      <c r="D270" t="s">
        <v>14</v>
      </c>
      <c r="E270">
        <v>2025</v>
      </c>
    </row>
    <row r="271" spans="1:5" hidden="1" x14ac:dyDescent="0.35">
      <c r="A271" t="s">
        <v>20</v>
      </c>
      <c r="B271">
        <v>106</v>
      </c>
      <c r="D271" t="s">
        <v>14</v>
      </c>
      <c r="E271">
        <v>14</v>
      </c>
    </row>
    <row r="272" spans="1:5" hidden="1" x14ac:dyDescent="0.35">
      <c r="A272" t="s">
        <v>20</v>
      </c>
      <c r="B272">
        <v>142</v>
      </c>
      <c r="D272" t="s">
        <v>14</v>
      </c>
      <c r="E272">
        <v>656</v>
      </c>
    </row>
    <row r="273" spans="1:5" hidden="1" x14ac:dyDescent="0.35">
      <c r="A273" t="s">
        <v>20</v>
      </c>
      <c r="B273">
        <v>211</v>
      </c>
      <c r="D273" t="s">
        <v>14</v>
      </c>
      <c r="E273">
        <v>1596</v>
      </c>
    </row>
    <row r="274" spans="1:5" hidden="1" x14ac:dyDescent="0.35">
      <c r="A274" t="s">
        <v>20</v>
      </c>
      <c r="B274">
        <v>2756</v>
      </c>
      <c r="D274" t="s">
        <v>14</v>
      </c>
      <c r="E274">
        <v>10</v>
      </c>
    </row>
    <row r="275" spans="1:5" hidden="1" x14ac:dyDescent="0.35">
      <c r="A275" t="s">
        <v>20</v>
      </c>
      <c r="B275">
        <v>173</v>
      </c>
      <c r="D275" t="s">
        <v>14</v>
      </c>
      <c r="E275">
        <v>1121</v>
      </c>
    </row>
    <row r="276" spans="1:5" x14ac:dyDescent="0.35">
      <c r="A276" s="13" t="s">
        <v>20</v>
      </c>
      <c r="B276">
        <v>87</v>
      </c>
      <c r="D276" s="10" t="s">
        <v>14</v>
      </c>
      <c r="E276">
        <v>15</v>
      </c>
    </row>
    <row r="277" spans="1:5" hidden="1" x14ac:dyDescent="0.35">
      <c r="A277" t="s">
        <v>20</v>
      </c>
      <c r="B277">
        <v>1572</v>
      </c>
      <c r="D277" t="s">
        <v>14</v>
      </c>
      <c r="E277">
        <v>191</v>
      </c>
    </row>
    <row r="278" spans="1:5" x14ac:dyDescent="0.35">
      <c r="A278" s="13" t="s">
        <v>20</v>
      </c>
      <c r="B278">
        <v>2346</v>
      </c>
      <c r="D278" s="10" t="s">
        <v>14</v>
      </c>
      <c r="E278">
        <v>16</v>
      </c>
    </row>
    <row r="279" spans="1:5" hidden="1" x14ac:dyDescent="0.35">
      <c r="A279" t="s">
        <v>20</v>
      </c>
      <c r="B279">
        <v>115</v>
      </c>
      <c r="D279" t="s">
        <v>14</v>
      </c>
      <c r="E279">
        <v>17</v>
      </c>
    </row>
    <row r="280" spans="1:5" hidden="1" x14ac:dyDescent="0.35">
      <c r="A280" t="s">
        <v>20</v>
      </c>
      <c r="B280">
        <v>85</v>
      </c>
      <c r="D280" t="s">
        <v>14</v>
      </c>
      <c r="E280">
        <v>34</v>
      </c>
    </row>
    <row r="281" spans="1:5" hidden="1" x14ac:dyDescent="0.35">
      <c r="A281" t="s">
        <v>20</v>
      </c>
      <c r="B281">
        <v>144</v>
      </c>
      <c r="D281" t="s">
        <v>14</v>
      </c>
      <c r="E281">
        <v>1</v>
      </c>
    </row>
    <row r="282" spans="1:5" hidden="1" x14ac:dyDescent="0.35">
      <c r="A282" t="s">
        <v>20</v>
      </c>
      <c r="B282">
        <v>2443</v>
      </c>
      <c r="D282" t="s">
        <v>14</v>
      </c>
      <c r="E282">
        <v>1274</v>
      </c>
    </row>
    <row r="283" spans="1:5" x14ac:dyDescent="0.35">
      <c r="A283" s="13" t="s">
        <v>20</v>
      </c>
      <c r="B283">
        <v>64</v>
      </c>
      <c r="D283" s="10" t="s">
        <v>14</v>
      </c>
      <c r="E283">
        <v>210</v>
      </c>
    </row>
    <row r="284" spans="1:5" hidden="1" x14ac:dyDescent="0.35">
      <c r="A284" t="s">
        <v>20</v>
      </c>
      <c r="B284">
        <v>268</v>
      </c>
      <c r="D284" t="s">
        <v>14</v>
      </c>
      <c r="E284">
        <v>248</v>
      </c>
    </row>
    <row r="285" spans="1:5" x14ac:dyDescent="0.35">
      <c r="A285" s="13" t="s">
        <v>20</v>
      </c>
      <c r="B285">
        <v>195</v>
      </c>
      <c r="D285" s="10" t="s">
        <v>14</v>
      </c>
      <c r="E285">
        <v>513</v>
      </c>
    </row>
    <row r="286" spans="1:5" x14ac:dyDescent="0.35">
      <c r="A286" s="13" t="s">
        <v>20</v>
      </c>
      <c r="B286">
        <v>186</v>
      </c>
      <c r="D286" s="10" t="s">
        <v>14</v>
      </c>
      <c r="E286">
        <v>3410</v>
      </c>
    </row>
    <row r="287" spans="1:5" hidden="1" x14ac:dyDescent="0.35">
      <c r="A287" t="s">
        <v>20</v>
      </c>
      <c r="B287">
        <v>460</v>
      </c>
      <c r="D287" t="s">
        <v>14</v>
      </c>
      <c r="E287">
        <v>10</v>
      </c>
    </row>
    <row r="288" spans="1:5" hidden="1" x14ac:dyDescent="0.35">
      <c r="A288" t="s">
        <v>20</v>
      </c>
      <c r="B288">
        <v>2528</v>
      </c>
      <c r="D288" t="s">
        <v>14</v>
      </c>
      <c r="E288">
        <v>2201</v>
      </c>
    </row>
    <row r="289" spans="1:5" hidden="1" x14ac:dyDescent="0.35">
      <c r="A289" t="s">
        <v>20</v>
      </c>
      <c r="B289">
        <v>3657</v>
      </c>
      <c r="D289" t="s">
        <v>14</v>
      </c>
      <c r="E289">
        <v>676</v>
      </c>
    </row>
    <row r="290" spans="1:5" x14ac:dyDescent="0.35">
      <c r="A290" s="13" t="s">
        <v>20</v>
      </c>
      <c r="B290">
        <v>131</v>
      </c>
      <c r="D290" s="10" t="s">
        <v>14</v>
      </c>
      <c r="E290">
        <v>831</v>
      </c>
    </row>
    <row r="291" spans="1:5" hidden="1" x14ac:dyDescent="0.35">
      <c r="A291" t="s">
        <v>20</v>
      </c>
      <c r="B291">
        <v>239</v>
      </c>
      <c r="D291" t="s">
        <v>14</v>
      </c>
      <c r="E291">
        <v>859</v>
      </c>
    </row>
    <row r="292" spans="1:5" x14ac:dyDescent="0.35">
      <c r="A292" s="13" t="s">
        <v>20</v>
      </c>
      <c r="B292">
        <v>78</v>
      </c>
      <c r="D292" s="10" t="s">
        <v>14</v>
      </c>
      <c r="E292">
        <v>45</v>
      </c>
    </row>
    <row r="293" spans="1:5" hidden="1" x14ac:dyDescent="0.35">
      <c r="A293" t="s">
        <v>20</v>
      </c>
      <c r="B293">
        <v>1773</v>
      </c>
      <c r="D293" t="s">
        <v>14</v>
      </c>
      <c r="E293">
        <v>6</v>
      </c>
    </row>
    <row r="294" spans="1:5" x14ac:dyDescent="0.35">
      <c r="A294" s="13" t="s">
        <v>20</v>
      </c>
      <c r="B294">
        <v>32</v>
      </c>
      <c r="D294" s="10" t="s">
        <v>14</v>
      </c>
      <c r="E294">
        <v>7</v>
      </c>
    </row>
    <row r="295" spans="1:5" hidden="1" x14ac:dyDescent="0.35">
      <c r="A295" t="s">
        <v>20</v>
      </c>
      <c r="B295">
        <v>369</v>
      </c>
      <c r="D295" t="s">
        <v>14</v>
      </c>
      <c r="E295">
        <v>31</v>
      </c>
    </row>
    <row r="296" spans="1:5" hidden="1" x14ac:dyDescent="0.35">
      <c r="A296" t="s">
        <v>20</v>
      </c>
      <c r="B296">
        <v>89</v>
      </c>
      <c r="D296" t="s">
        <v>14</v>
      </c>
      <c r="E296">
        <v>78</v>
      </c>
    </row>
    <row r="297" spans="1:5" x14ac:dyDescent="0.35">
      <c r="A297" s="13" t="s">
        <v>20</v>
      </c>
      <c r="B297">
        <v>147</v>
      </c>
      <c r="D297" s="10" t="s">
        <v>14</v>
      </c>
      <c r="E297">
        <v>1225</v>
      </c>
    </row>
    <row r="298" spans="1:5" x14ac:dyDescent="0.35">
      <c r="A298" s="13" t="s">
        <v>20</v>
      </c>
      <c r="B298">
        <v>126</v>
      </c>
      <c r="D298" s="10" t="s">
        <v>14</v>
      </c>
      <c r="E298">
        <v>1</v>
      </c>
    </row>
    <row r="299" spans="1:5" x14ac:dyDescent="0.35">
      <c r="A299" s="13" t="s">
        <v>20</v>
      </c>
      <c r="B299">
        <v>2218</v>
      </c>
      <c r="D299" s="10" t="s">
        <v>14</v>
      </c>
      <c r="E299">
        <v>67</v>
      </c>
    </row>
    <row r="300" spans="1:5" hidden="1" x14ac:dyDescent="0.35">
      <c r="A300" t="s">
        <v>20</v>
      </c>
      <c r="B300">
        <v>202</v>
      </c>
      <c r="D300" t="s">
        <v>14</v>
      </c>
      <c r="E300">
        <v>19</v>
      </c>
    </row>
    <row r="301" spans="1:5" x14ac:dyDescent="0.35">
      <c r="A301" s="13" t="s">
        <v>20</v>
      </c>
      <c r="B301">
        <v>140</v>
      </c>
      <c r="D301" s="10" t="s">
        <v>14</v>
      </c>
      <c r="E301">
        <v>2108</v>
      </c>
    </row>
    <row r="302" spans="1:5" x14ac:dyDescent="0.35">
      <c r="A302" s="13" t="s">
        <v>20</v>
      </c>
      <c r="B302">
        <v>1052</v>
      </c>
      <c r="D302" s="10" t="s">
        <v>14</v>
      </c>
      <c r="E302">
        <v>679</v>
      </c>
    </row>
    <row r="303" spans="1:5" hidden="1" x14ac:dyDescent="0.35">
      <c r="A303" t="s">
        <v>20</v>
      </c>
      <c r="B303">
        <v>247</v>
      </c>
      <c r="D303" t="s">
        <v>14</v>
      </c>
      <c r="E303">
        <v>36</v>
      </c>
    </row>
    <row r="304" spans="1:5" x14ac:dyDescent="0.35">
      <c r="A304" s="13" t="s">
        <v>20</v>
      </c>
      <c r="B304">
        <v>84</v>
      </c>
      <c r="D304" s="10" t="s">
        <v>14</v>
      </c>
      <c r="E304">
        <v>47</v>
      </c>
    </row>
    <row r="305" spans="1:5" x14ac:dyDescent="0.35">
      <c r="A305" s="13" t="s">
        <v>20</v>
      </c>
      <c r="B305">
        <v>88</v>
      </c>
      <c r="D305" s="10" t="s">
        <v>14</v>
      </c>
      <c r="E305">
        <v>70</v>
      </c>
    </row>
    <row r="306" spans="1:5" hidden="1" x14ac:dyDescent="0.35">
      <c r="A306" t="s">
        <v>20</v>
      </c>
      <c r="B306">
        <v>156</v>
      </c>
      <c r="D306" t="s">
        <v>14</v>
      </c>
      <c r="E306">
        <v>154</v>
      </c>
    </row>
    <row r="307" spans="1:5" hidden="1" x14ac:dyDescent="0.35">
      <c r="A307" t="s">
        <v>20</v>
      </c>
      <c r="B307">
        <v>2985</v>
      </c>
      <c r="D307" t="s">
        <v>14</v>
      </c>
      <c r="E307">
        <v>22</v>
      </c>
    </row>
    <row r="308" spans="1:5" x14ac:dyDescent="0.35">
      <c r="A308" s="13" t="s">
        <v>20</v>
      </c>
      <c r="B308">
        <v>762</v>
      </c>
      <c r="D308" s="10" t="s">
        <v>14</v>
      </c>
      <c r="E308">
        <v>1758</v>
      </c>
    </row>
    <row r="309" spans="1:5" hidden="1" x14ac:dyDescent="0.35">
      <c r="A309" t="s">
        <v>20</v>
      </c>
      <c r="B309">
        <v>554</v>
      </c>
      <c r="D309" t="s">
        <v>14</v>
      </c>
      <c r="E309">
        <v>94</v>
      </c>
    </row>
    <row r="310" spans="1:5" x14ac:dyDescent="0.35">
      <c r="A310" s="13" t="s">
        <v>20</v>
      </c>
      <c r="B310">
        <v>135</v>
      </c>
      <c r="D310" s="10" t="s">
        <v>14</v>
      </c>
      <c r="E310">
        <v>33</v>
      </c>
    </row>
    <row r="311" spans="1:5" hidden="1" x14ac:dyDescent="0.35">
      <c r="A311" t="s">
        <v>20</v>
      </c>
      <c r="B311">
        <v>122</v>
      </c>
      <c r="D311" t="s">
        <v>14</v>
      </c>
      <c r="E311">
        <v>1</v>
      </c>
    </row>
    <row r="312" spans="1:5" x14ac:dyDescent="0.35">
      <c r="A312" s="13" t="s">
        <v>20</v>
      </c>
      <c r="B312">
        <v>221</v>
      </c>
      <c r="D312" s="10" t="s">
        <v>14</v>
      </c>
      <c r="E312">
        <v>31</v>
      </c>
    </row>
    <row r="313" spans="1:5" hidden="1" x14ac:dyDescent="0.35">
      <c r="A313" t="s">
        <v>20</v>
      </c>
      <c r="B313">
        <v>126</v>
      </c>
      <c r="D313" t="s">
        <v>14</v>
      </c>
      <c r="E313">
        <v>35</v>
      </c>
    </row>
    <row r="314" spans="1:5" hidden="1" x14ac:dyDescent="0.35">
      <c r="A314" t="s">
        <v>20</v>
      </c>
      <c r="B314">
        <v>1022</v>
      </c>
      <c r="D314" t="s">
        <v>14</v>
      </c>
      <c r="E314">
        <v>63</v>
      </c>
    </row>
    <row r="315" spans="1:5" hidden="1" x14ac:dyDescent="0.35">
      <c r="A315" t="s">
        <v>20</v>
      </c>
      <c r="B315">
        <v>3177</v>
      </c>
      <c r="D315" t="s">
        <v>14</v>
      </c>
      <c r="E315">
        <v>526</v>
      </c>
    </row>
    <row r="316" spans="1:5" hidden="1" x14ac:dyDescent="0.35">
      <c r="A316" t="s">
        <v>20</v>
      </c>
      <c r="B316">
        <v>198</v>
      </c>
      <c r="D316" t="s">
        <v>14</v>
      </c>
      <c r="E316">
        <v>121</v>
      </c>
    </row>
    <row r="317" spans="1:5" x14ac:dyDescent="0.35">
      <c r="A317" s="13" t="s">
        <v>20</v>
      </c>
      <c r="B317">
        <v>85</v>
      </c>
      <c r="D317" s="10" t="s">
        <v>14</v>
      </c>
      <c r="E317">
        <v>67</v>
      </c>
    </row>
    <row r="318" spans="1:5" x14ac:dyDescent="0.35">
      <c r="A318" s="13" t="s">
        <v>20</v>
      </c>
      <c r="B318">
        <v>3596</v>
      </c>
      <c r="D318" s="10" t="s">
        <v>14</v>
      </c>
      <c r="E318">
        <v>57</v>
      </c>
    </row>
    <row r="319" spans="1:5" x14ac:dyDescent="0.35">
      <c r="A319" s="13" t="s">
        <v>20</v>
      </c>
      <c r="B319">
        <v>244</v>
      </c>
      <c r="D319" s="10" t="s">
        <v>14</v>
      </c>
      <c r="E319">
        <v>1229</v>
      </c>
    </row>
    <row r="320" spans="1:5" x14ac:dyDescent="0.35">
      <c r="A320" s="13" t="s">
        <v>20</v>
      </c>
      <c r="B320">
        <v>5180</v>
      </c>
      <c r="D320" s="10" t="s">
        <v>14</v>
      </c>
      <c r="E320">
        <v>12</v>
      </c>
    </row>
    <row r="321" spans="1:5" hidden="1" x14ac:dyDescent="0.35">
      <c r="A321" t="s">
        <v>20</v>
      </c>
      <c r="B321">
        <v>589</v>
      </c>
      <c r="D321" t="s">
        <v>14</v>
      </c>
      <c r="E321">
        <v>452</v>
      </c>
    </row>
    <row r="322" spans="1:5" x14ac:dyDescent="0.35">
      <c r="A322" s="13" t="s">
        <v>20</v>
      </c>
      <c r="B322">
        <v>2725</v>
      </c>
      <c r="D322" s="10" t="s">
        <v>14</v>
      </c>
      <c r="E322">
        <v>1886</v>
      </c>
    </row>
    <row r="323" spans="1:5" x14ac:dyDescent="0.35">
      <c r="A323" s="13" t="s">
        <v>20</v>
      </c>
      <c r="B323">
        <v>300</v>
      </c>
      <c r="D323" s="10" t="s">
        <v>14</v>
      </c>
      <c r="E323">
        <v>1825</v>
      </c>
    </row>
    <row r="324" spans="1:5" hidden="1" x14ac:dyDescent="0.35">
      <c r="A324" t="s">
        <v>20</v>
      </c>
      <c r="B324">
        <v>144</v>
      </c>
      <c r="D324" t="s">
        <v>14</v>
      </c>
      <c r="E324">
        <v>31</v>
      </c>
    </row>
    <row r="325" spans="1:5" x14ac:dyDescent="0.35">
      <c r="A325" s="13" t="s">
        <v>20</v>
      </c>
      <c r="B325">
        <v>87</v>
      </c>
      <c r="D325" s="10" t="s">
        <v>14</v>
      </c>
      <c r="E325">
        <v>107</v>
      </c>
    </row>
    <row r="326" spans="1:5" hidden="1" x14ac:dyDescent="0.35">
      <c r="A326" t="s">
        <v>20</v>
      </c>
      <c r="B326">
        <v>3116</v>
      </c>
      <c r="D326" t="s">
        <v>14</v>
      </c>
      <c r="E326">
        <v>27</v>
      </c>
    </row>
    <row r="327" spans="1:5" x14ac:dyDescent="0.35">
      <c r="A327" s="13" t="s">
        <v>20</v>
      </c>
      <c r="B327">
        <v>909</v>
      </c>
      <c r="D327" s="10" t="s">
        <v>14</v>
      </c>
      <c r="E327">
        <v>1221</v>
      </c>
    </row>
    <row r="328" spans="1:5" x14ac:dyDescent="0.35">
      <c r="A328" s="13" t="s">
        <v>20</v>
      </c>
      <c r="B328">
        <v>1613</v>
      </c>
      <c r="D328" s="10" t="s">
        <v>14</v>
      </c>
      <c r="E328">
        <v>1</v>
      </c>
    </row>
    <row r="329" spans="1:5" x14ac:dyDescent="0.35">
      <c r="A329" s="13" t="s">
        <v>20</v>
      </c>
      <c r="B329">
        <v>136</v>
      </c>
      <c r="D329" s="10" t="s">
        <v>14</v>
      </c>
      <c r="E329">
        <v>16</v>
      </c>
    </row>
    <row r="330" spans="1:5" hidden="1" x14ac:dyDescent="0.35">
      <c r="A330" t="s">
        <v>20</v>
      </c>
      <c r="B330">
        <v>130</v>
      </c>
      <c r="D330" t="s">
        <v>14</v>
      </c>
      <c r="E330">
        <v>41</v>
      </c>
    </row>
    <row r="331" spans="1:5" hidden="1" x14ac:dyDescent="0.35">
      <c r="A331" t="s">
        <v>20</v>
      </c>
      <c r="B331">
        <v>102</v>
      </c>
      <c r="D331" t="s">
        <v>14</v>
      </c>
      <c r="E331">
        <v>523</v>
      </c>
    </row>
    <row r="332" spans="1:5" hidden="1" x14ac:dyDescent="0.35">
      <c r="A332" t="s">
        <v>20</v>
      </c>
      <c r="B332">
        <v>4006</v>
      </c>
      <c r="D332" t="s">
        <v>14</v>
      </c>
      <c r="E332">
        <v>141</v>
      </c>
    </row>
    <row r="333" spans="1:5" hidden="1" x14ac:dyDescent="0.35">
      <c r="A333" t="s">
        <v>20</v>
      </c>
      <c r="B333">
        <v>1629</v>
      </c>
      <c r="D333" t="s">
        <v>14</v>
      </c>
      <c r="E333">
        <v>52</v>
      </c>
    </row>
    <row r="334" spans="1:5" hidden="1" x14ac:dyDescent="0.35">
      <c r="A334" t="s">
        <v>20</v>
      </c>
      <c r="B334">
        <v>2188</v>
      </c>
      <c r="D334" t="s">
        <v>14</v>
      </c>
      <c r="E334">
        <v>225</v>
      </c>
    </row>
    <row r="335" spans="1:5" hidden="1" x14ac:dyDescent="0.35">
      <c r="A335" t="s">
        <v>20</v>
      </c>
      <c r="B335">
        <v>2409</v>
      </c>
      <c r="D335" t="s">
        <v>14</v>
      </c>
      <c r="E335">
        <v>38</v>
      </c>
    </row>
    <row r="336" spans="1:5" hidden="1" x14ac:dyDescent="0.35">
      <c r="A336" t="s">
        <v>20</v>
      </c>
      <c r="B336">
        <v>194</v>
      </c>
      <c r="D336" t="s">
        <v>14</v>
      </c>
      <c r="E336">
        <v>15</v>
      </c>
    </row>
    <row r="337" spans="1:5" hidden="1" x14ac:dyDescent="0.35">
      <c r="A337" t="s">
        <v>20</v>
      </c>
      <c r="B337">
        <v>1140</v>
      </c>
      <c r="D337" t="s">
        <v>14</v>
      </c>
      <c r="E337">
        <v>37</v>
      </c>
    </row>
    <row r="338" spans="1:5" x14ac:dyDescent="0.35">
      <c r="A338" s="13" t="s">
        <v>20</v>
      </c>
      <c r="B338">
        <v>102</v>
      </c>
      <c r="D338" s="10" t="s">
        <v>14</v>
      </c>
      <c r="E338">
        <v>112</v>
      </c>
    </row>
    <row r="339" spans="1:5" hidden="1" x14ac:dyDescent="0.35">
      <c r="A339" t="s">
        <v>20</v>
      </c>
      <c r="B339">
        <v>2857</v>
      </c>
      <c r="D339" t="s">
        <v>14</v>
      </c>
      <c r="E339">
        <v>21</v>
      </c>
    </row>
    <row r="340" spans="1:5" hidden="1" x14ac:dyDescent="0.35">
      <c r="A340" t="s">
        <v>20</v>
      </c>
      <c r="B340">
        <v>107</v>
      </c>
      <c r="D340" t="s">
        <v>14</v>
      </c>
      <c r="E340">
        <v>67</v>
      </c>
    </row>
    <row r="341" spans="1:5" hidden="1" x14ac:dyDescent="0.35">
      <c r="A341" t="s">
        <v>20</v>
      </c>
      <c r="B341">
        <v>160</v>
      </c>
      <c r="D341" t="s">
        <v>14</v>
      </c>
      <c r="E341">
        <v>78</v>
      </c>
    </row>
    <row r="342" spans="1:5" x14ac:dyDescent="0.35">
      <c r="A342" s="13" t="s">
        <v>20</v>
      </c>
      <c r="B342">
        <v>2230</v>
      </c>
      <c r="D342" s="10" t="s">
        <v>14</v>
      </c>
      <c r="E342">
        <v>67</v>
      </c>
    </row>
    <row r="343" spans="1:5" x14ac:dyDescent="0.35">
      <c r="A343" s="13" t="s">
        <v>20</v>
      </c>
      <c r="B343">
        <v>316</v>
      </c>
      <c r="D343" s="10" t="s">
        <v>14</v>
      </c>
      <c r="E343">
        <v>263</v>
      </c>
    </row>
    <row r="344" spans="1:5" x14ac:dyDescent="0.35">
      <c r="A344" s="13" t="s">
        <v>20</v>
      </c>
      <c r="B344">
        <v>117</v>
      </c>
      <c r="D344" s="10" t="s">
        <v>14</v>
      </c>
      <c r="E344">
        <v>1691</v>
      </c>
    </row>
    <row r="345" spans="1:5" x14ac:dyDescent="0.35">
      <c r="A345" s="13" t="s">
        <v>20</v>
      </c>
      <c r="B345">
        <v>6406</v>
      </c>
      <c r="D345" s="10" t="s">
        <v>14</v>
      </c>
      <c r="E345">
        <v>181</v>
      </c>
    </row>
    <row r="346" spans="1:5" x14ac:dyDescent="0.35">
      <c r="A346" s="13" t="s">
        <v>20</v>
      </c>
      <c r="B346">
        <v>192</v>
      </c>
      <c r="D346" s="10" t="s">
        <v>14</v>
      </c>
      <c r="E346">
        <v>13</v>
      </c>
    </row>
    <row r="347" spans="1:5" x14ac:dyDescent="0.35">
      <c r="A347" s="13" t="s">
        <v>20</v>
      </c>
      <c r="B347">
        <v>26</v>
      </c>
      <c r="D347" s="10" t="s">
        <v>14</v>
      </c>
      <c r="E347">
        <v>1</v>
      </c>
    </row>
    <row r="348" spans="1:5" x14ac:dyDescent="0.35">
      <c r="A348" s="13" t="s">
        <v>20</v>
      </c>
      <c r="B348">
        <v>723</v>
      </c>
      <c r="D348" s="10" t="s">
        <v>14</v>
      </c>
      <c r="E348">
        <v>21</v>
      </c>
    </row>
    <row r="349" spans="1:5" hidden="1" x14ac:dyDescent="0.35">
      <c r="A349" t="s">
        <v>20</v>
      </c>
      <c r="B349">
        <v>170</v>
      </c>
      <c r="D349" t="s">
        <v>14</v>
      </c>
      <c r="E349">
        <v>830</v>
      </c>
    </row>
    <row r="350" spans="1:5" x14ac:dyDescent="0.35">
      <c r="A350" s="13" t="s">
        <v>20</v>
      </c>
      <c r="B350">
        <v>238</v>
      </c>
      <c r="D350" s="10" t="s">
        <v>14</v>
      </c>
      <c r="E350">
        <v>130</v>
      </c>
    </row>
    <row r="351" spans="1:5" x14ac:dyDescent="0.35">
      <c r="A351" s="13" t="s">
        <v>20</v>
      </c>
      <c r="B351">
        <v>55</v>
      </c>
      <c r="D351" s="10" t="s">
        <v>14</v>
      </c>
      <c r="E351">
        <v>55</v>
      </c>
    </row>
    <row r="352" spans="1:5" x14ac:dyDescent="0.35">
      <c r="A352" s="13" t="s">
        <v>20</v>
      </c>
      <c r="B352">
        <v>128</v>
      </c>
      <c r="D352" s="10" t="s">
        <v>14</v>
      </c>
      <c r="E352">
        <v>114</v>
      </c>
    </row>
    <row r="353" spans="1:5" hidden="1" x14ac:dyDescent="0.35">
      <c r="A353" t="s">
        <v>20</v>
      </c>
      <c r="B353">
        <v>2144</v>
      </c>
      <c r="D353" t="s">
        <v>14</v>
      </c>
      <c r="E353">
        <v>594</v>
      </c>
    </row>
    <row r="354" spans="1:5" x14ac:dyDescent="0.35">
      <c r="A354" s="13" t="s">
        <v>20</v>
      </c>
      <c r="B354">
        <v>2693</v>
      </c>
      <c r="D354" s="10" t="s">
        <v>14</v>
      </c>
      <c r="E354">
        <v>24</v>
      </c>
    </row>
    <row r="355" spans="1:5" hidden="1" x14ac:dyDescent="0.35">
      <c r="A355" t="s">
        <v>20</v>
      </c>
      <c r="B355">
        <v>432</v>
      </c>
      <c r="D355" t="s">
        <v>14</v>
      </c>
      <c r="E355">
        <v>252</v>
      </c>
    </row>
    <row r="356" spans="1:5" hidden="1" x14ac:dyDescent="0.35">
      <c r="A356" t="s">
        <v>20</v>
      </c>
      <c r="B356">
        <v>189</v>
      </c>
      <c r="D356" t="s">
        <v>14</v>
      </c>
      <c r="E356">
        <v>67</v>
      </c>
    </row>
    <row r="357" spans="1:5" hidden="1" x14ac:dyDescent="0.35">
      <c r="A357" t="s">
        <v>20</v>
      </c>
      <c r="B357">
        <v>154</v>
      </c>
      <c r="D357" t="s">
        <v>14</v>
      </c>
      <c r="E357">
        <v>742</v>
      </c>
    </row>
    <row r="358" spans="1:5" x14ac:dyDescent="0.35">
      <c r="A358" s="13" t="s">
        <v>20</v>
      </c>
      <c r="B358">
        <v>96</v>
      </c>
      <c r="D358" s="10" t="s">
        <v>14</v>
      </c>
      <c r="E358">
        <v>75</v>
      </c>
    </row>
    <row r="359" spans="1:5" hidden="1" x14ac:dyDescent="0.35">
      <c r="A359" t="s">
        <v>20</v>
      </c>
      <c r="B359">
        <v>3063</v>
      </c>
      <c r="D359" t="s">
        <v>14</v>
      </c>
      <c r="E359">
        <v>4405</v>
      </c>
    </row>
    <row r="360" spans="1:5" x14ac:dyDescent="0.35">
      <c r="A360" s="13" t="s">
        <v>20</v>
      </c>
      <c r="B360">
        <v>2266</v>
      </c>
      <c r="D360" s="10" t="s">
        <v>14</v>
      </c>
      <c r="E360">
        <v>92</v>
      </c>
    </row>
    <row r="361" spans="1:5" hidden="1" x14ac:dyDescent="0.35">
      <c r="A361" t="s">
        <v>20</v>
      </c>
      <c r="B361">
        <v>194</v>
      </c>
      <c r="D361" t="s">
        <v>14</v>
      </c>
      <c r="E361">
        <v>64</v>
      </c>
    </row>
    <row r="362" spans="1:5" hidden="1" x14ac:dyDescent="0.35">
      <c r="A362" t="s">
        <v>20</v>
      </c>
      <c r="B362">
        <v>129</v>
      </c>
      <c r="D362" t="s">
        <v>14</v>
      </c>
      <c r="E362">
        <v>64</v>
      </c>
    </row>
    <row r="363" spans="1:5" hidden="1" x14ac:dyDescent="0.35">
      <c r="A363" t="s">
        <v>20</v>
      </c>
      <c r="B363">
        <v>375</v>
      </c>
      <c r="D363" t="s">
        <v>14</v>
      </c>
      <c r="E363">
        <v>842</v>
      </c>
    </row>
    <row r="364" spans="1:5" hidden="1" x14ac:dyDescent="0.35">
      <c r="A364" t="s">
        <v>20</v>
      </c>
      <c r="B364">
        <v>409</v>
      </c>
      <c r="D364" t="s">
        <v>14</v>
      </c>
      <c r="E364">
        <v>112</v>
      </c>
    </row>
    <row r="365" spans="1:5" hidden="1" x14ac:dyDescent="0.35">
      <c r="A365" t="s">
        <v>20</v>
      </c>
      <c r="B365">
        <v>234</v>
      </c>
      <c r="D365" t="s">
        <v>14</v>
      </c>
      <c r="E365">
        <v>374</v>
      </c>
    </row>
    <row r="366" spans="1:5" hidden="1" x14ac:dyDescent="0.35">
      <c r="A366" t="s">
        <v>20</v>
      </c>
      <c r="B366">
        <v>3016</v>
      </c>
      <c r="D366"/>
    </row>
    <row r="367" spans="1:5" hidden="1" x14ac:dyDescent="0.35">
      <c r="A367" t="s">
        <v>20</v>
      </c>
      <c r="B367">
        <v>264</v>
      </c>
      <c r="D367"/>
    </row>
    <row r="368" spans="1:5" hidden="1" x14ac:dyDescent="0.35">
      <c r="A368" t="s">
        <v>20</v>
      </c>
      <c r="B368">
        <v>272</v>
      </c>
      <c r="D368"/>
    </row>
    <row r="369" spans="1:4" x14ac:dyDescent="0.35">
      <c r="A369" s="13" t="s">
        <v>20</v>
      </c>
      <c r="B369">
        <v>419</v>
      </c>
    </row>
    <row r="370" spans="1:4" hidden="1" x14ac:dyDescent="0.35">
      <c r="A370" t="s">
        <v>20</v>
      </c>
      <c r="B370">
        <v>1621</v>
      </c>
      <c r="D370"/>
    </row>
    <row r="371" spans="1:4" hidden="1" x14ac:dyDescent="0.35">
      <c r="A371" t="s">
        <v>20</v>
      </c>
      <c r="B371">
        <v>1101</v>
      </c>
      <c r="D371"/>
    </row>
    <row r="372" spans="1:4" hidden="1" x14ac:dyDescent="0.35">
      <c r="A372" t="s">
        <v>20</v>
      </c>
      <c r="B372">
        <v>1073</v>
      </c>
      <c r="D372"/>
    </row>
    <row r="373" spans="1:4" x14ac:dyDescent="0.35">
      <c r="A373" s="13" t="s">
        <v>20</v>
      </c>
      <c r="B373">
        <v>331</v>
      </c>
    </row>
    <row r="374" spans="1:4" hidden="1" x14ac:dyDescent="0.35">
      <c r="A374" t="s">
        <v>20</v>
      </c>
      <c r="B374">
        <v>1170</v>
      </c>
      <c r="D374"/>
    </row>
    <row r="375" spans="1:4" hidden="1" x14ac:dyDescent="0.35">
      <c r="A375" t="s">
        <v>20</v>
      </c>
      <c r="B375">
        <v>363</v>
      </c>
      <c r="D375"/>
    </row>
    <row r="376" spans="1:4" x14ac:dyDescent="0.35">
      <c r="A376" s="13" t="s">
        <v>20</v>
      </c>
      <c r="B376">
        <v>103</v>
      </c>
    </row>
    <row r="377" spans="1:4" x14ac:dyDescent="0.35">
      <c r="A377" s="13" t="s">
        <v>20</v>
      </c>
      <c r="B377">
        <v>147</v>
      </c>
    </row>
    <row r="378" spans="1:4" hidden="1" x14ac:dyDescent="0.35">
      <c r="A378" t="s">
        <v>20</v>
      </c>
      <c r="B378">
        <v>110</v>
      </c>
      <c r="D378"/>
    </row>
    <row r="379" spans="1:4" x14ac:dyDescent="0.35">
      <c r="A379" s="13" t="s">
        <v>20</v>
      </c>
      <c r="B379">
        <v>134</v>
      </c>
    </row>
    <row r="380" spans="1:4" x14ac:dyDescent="0.35">
      <c r="A380" s="13" t="s">
        <v>20</v>
      </c>
      <c r="B380">
        <v>269</v>
      </c>
    </row>
    <row r="381" spans="1:4" x14ac:dyDescent="0.35">
      <c r="A381" s="13" t="s">
        <v>20</v>
      </c>
      <c r="B381">
        <v>175</v>
      </c>
    </row>
    <row r="382" spans="1:4" hidden="1" x14ac:dyDescent="0.35">
      <c r="A382" t="s">
        <v>20</v>
      </c>
      <c r="B382">
        <v>69</v>
      </c>
      <c r="D382"/>
    </row>
    <row r="383" spans="1:4" hidden="1" x14ac:dyDescent="0.35">
      <c r="A383" t="s">
        <v>20</v>
      </c>
      <c r="B383">
        <v>190</v>
      </c>
      <c r="D383"/>
    </row>
    <row r="384" spans="1:4" x14ac:dyDescent="0.35">
      <c r="A384" s="13" t="s">
        <v>20</v>
      </c>
      <c r="B384">
        <v>237</v>
      </c>
    </row>
    <row r="385" spans="1:4" hidden="1" x14ac:dyDescent="0.35">
      <c r="A385" t="s">
        <v>20</v>
      </c>
      <c r="B385">
        <v>196</v>
      </c>
      <c r="D385"/>
    </row>
    <row r="386" spans="1:4" hidden="1" x14ac:dyDescent="0.35">
      <c r="A386" t="s">
        <v>20</v>
      </c>
      <c r="B386">
        <v>7295</v>
      </c>
      <c r="D386"/>
    </row>
    <row r="387" spans="1:4" hidden="1" x14ac:dyDescent="0.35">
      <c r="A387" t="s">
        <v>20</v>
      </c>
      <c r="B387">
        <v>2893</v>
      </c>
      <c r="D387"/>
    </row>
    <row r="388" spans="1:4" x14ac:dyDescent="0.35">
      <c r="A388" s="13" t="s">
        <v>20</v>
      </c>
      <c r="B388">
        <v>820</v>
      </c>
    </row>
    <row r="389" spans="1:4" x14ac:dyDescent="0.35">
      <c r="A389" s="13" t="s">
        <v>20</v>
      </c>
      <c r="B389">
        <v>2038</v>
      </c>
    </row>
    <row r="390" spans="1:4" hidden="1" x14ac:dyDescent="0.35">
      <c r="A390" t="s">
        <v>20</v>
      </c>
      <c r="B390">
        <v>116</v>
      </c>
      <c r="D390"/>
    </row>
    <row r="391" spans="1:4" hidden="1" x14ac:dyDescent="0.35">
      <c r="A391" t="s">
        <v>20</v>
      </c>
      <c r="B391">
        <v>1345</v>
      </c>
      <c r="D391"/>
    </row>
    <row r="392" spans="1:4" hidden="1" x14ac:dyDescent="0.35">
      <c r="A392" t="s">
        <v>20</v>
      </c>
      <c r="B392">
        <v>168</v>
      </c>
      <c r="D392"/>
    </row>
    <row r="393" spans="1:4" x14ac:dyDescent="0.35">
      <c r="A393" s="13" t="s">
        <v>20</v>
      </c>
      <c r="B393">
        <v>137</v>
      </c>
    </row>
    <row r="394" spans="1:4" x14ac:dyDescent="0.35">
      <c r="A394" s="13" t="s">
        <v>20</v>
      </c>
      <c r="B394">
        <v>186</v>
      </c>
    </row>
    <row r="395" spans="1:4" hidden="1" x14ac:dyDescent="0.35">
      <c r="A395" t="s">
        <v>20</v>
      </c>
      <c r="B395">
        <v>125</v>
      </c>
      <c r="D395"/>
    </row>
    <row r="396" spans="1:4" hidden="1" x14ac:dyDescent="0.35">
      <c r="A396" t="s">
        <v>20</v>
      </c>
      <c r="B396">
        <v>202</v>
      </c>
      <c r="D396"/>
    </row>
    <row r="397" spans="1:4" hidden="1" x14ac:dyDescent="0.35">
      <c r="A397" t="s">
        <v>20</v>
      </c>
      <c r="B397">
        <v>103</v>
      </c>
      <c r="D397"/>
    </row>
    <row r="398" spans="1:4" hidden="1" x14ac:dyDescent="0.35">
      <c r="A398" t="s">
        <v>20</v>
      </c>
      <c r="B398">
        <v>1785</v>
      </c>
      <c r="D398"/>
    </row>
    <row r="399" spans="1:4" hidden="1" x14ac:dyDescent="0.35">
      <c r="A399" t="s">
        <v>20</v>
      </c>
      <c r="B399">
        <v>157</v>
      </c>
      <c r="D399"/>
    </row>
    <row r="400" spans="1:4" hidden="1" x14ac:dyDescent="0.35">
      <c r="A400" t="s">
        <v>20</v>
      </c>
      <c r="B400">
        <v>555</v>
      </c>
      <c r="D400"/>
    </row>
    <row r="401" spans="1:4" x14ac:dyDescent="0.35">
      <c r="A401" s="13" t="s">
        <v>20</v>
      </c>
      <c r="B401">
        <v>297</v>
      </c>
    </row>
    <row r="402" spans="1:4" x14ac:dyDescent="0.35">
      <c r="A402" s="13" t="s">
        <v>20</v>
      </c>
      <c r="B402">
        <v>123</v>
      </c>
    </row>
    <row r="403" spans="1:4" hidden="1" x14ac:dyDescent="0.35">
      <c r="A403" t="s">
        <v>20</v>
      </c>
      <c r="B403">
        <v>3036</v>
      </c>
      <c r="D403"/>
    </row>
    <row r="404" spans="1:4" x14ac:dyDescent="0.35">
      <c r="A404" s="13" t="s">
        <v>20</v>
      </c>
      <c r="B404">
        <v>144</v>
      </c>
    </row>
    <row r="405" spans="1:4" x14ac:dyDescent="0.35">
      <c r="A405" s="13" t="s">
        <v>20</v>
      </c>
      <c r="B405">
        <v>121</v>
      </c>
    </row>
    <row r="406" spans="1:4" hidden="1" x14ac:dyDescent="0.35">
      <c r="A406" t="s">
        <v>20</v>
      </c>
      <c r="B406">
        <v>181</v>
      </c>
      <c r="D406"/>
    </row>
    <row r="407" spans="1:4" x14ac:dyDescent="0.35">
      <c r="A407" s="13" t="s">
        <v>20</v>
      </c>
      <c r="B407">
        <v>122</v>
      </c>
    </row>
    <row r="408" spans="1:4" hidden="1" x14ac:dyDescent="0.35">
      <c r="A408" t="s">
        <v>20</v>
      </c>
      <c r="B408">
        <v>1071</v>
      </c>
      <c r="D408"/>
    </row>
    <row r="409" spans="1:4" hidden="1" x14ac:dyDescent="0.35">
      <c r="A409" t="s">
        <v>20</v>
      </c>
      <c r="B409">
        <v>980</v>
      </c>
      <c r="D409"/>
    </row>
    <row r="410" spans="1:4" hidden="1" x14ac:dyDescent="0.35">
      <c r="A410" t="s">
        <v>20</v>
      </c>
      <c r="B410">
        <v>536</v>
      </c>
      <c r="D410"/>
    </row>
    <row r="411" spans="1:4" x14ac:dyDescent="0.35">
      <c r="A411" s="13" t="s">
        <v>20</v>
      </c>
      <c r="B411">
        <v>1991</v>
      </c>
    </row>
    <row r="412" spans="1:4" hidden="1" x14ac:dyDescent="0.35">
      <c r="A412" t="s">
        <v>20</v>
      </c>
      <c r="B412">
        <v>180</v>
      </c>
      <c r="D412"/>
    </row>
    <row r="413" spans="1:4" hidden="1" x14ac:dyDescent="0.35">
      <c r="A413" t="s">
        <v>20</v>
      </c>
      <c r="B413">
        <v>130</v>
      </c>
      <c r="D413"/>
    </row>
    <row r="414" spans="1:4" hidden="1" x14ac:dyDescent="0.35">
      <c r="A414" t="s">
        <v>20</v>
      </c>
      <c r="B414">
        <v>122</v>
      </c>
      <c r="D414"/>
    </row>
    <row r="415" spans="1:4" hidden="1" x14ac:dyDescent="0.35">
      <c r="A415" t="s">
        <v>20</v>
      </c>
      <c r="B415">
        <v>140</v>
      </c>
      <c r="D415"/>
    </row>
    <row r="416" spans="1:4" x14ac:dyDescent="0.35">
      <c r="A416" s="13" t="s">
        <v>20</v>
      </c>
      <c r="B416">
        <v>3388</v>
      </c>
    </row>
    <row r="417" spans="1:4" x14ac:dyDescent="0.35">
      <c r="A417" s="13" t="s">
        <v>20</v>
      </c>
      <c r="B417">
        <v>280</v>
      </c>
    </row>
    <row r="418" spans="1:4" x14ac:dyDescent="0.35">
      <c r="A418" s="13" t="s">
        <v>20</v>
      </c>
      <c r="B418">
        <v>366</v>
      </c>
    </row>
    <row r="419" spans="1:4" x14ac:dyDescent="0.35">
      <c r="A419" s="13" t="s">
        <v>20</v>
      </c>
      <c r="B419">
        <v>270</v>
      </c>
    </row>
    <row r="420" spans="1:4" x14ac:dyDescent="0.35">
      <c r="A420" s="13" t="s">
        <v>20</v>
      </c>
      <c r="B420">
        <v>137</v>
      </c>
    </row>
    <row r="421" spans="1:4" hidden="1" x14ac:dyDescent="0.35">
      <c r="A421" t="s">
        <v>20</v>
      </c>
      <c r="B421">
        <v>3205</v>
      </c>
      <c r="D421"/>
    </row>
    <row r="422" spans="1:4" hidden="1" x14ac:dyDescent="0.35">
      <c r="A422" t="s">
        <v>20</v>
      </c>
      <c r="B422">
        <v>288</v>
      </c>
      <c r="D422"/>
    </row>
    <row r="423" spans="1:4" x14ac:dyDescent="0.35">
      <c r="A423" s="13" t="s">
        <v>20</v>
      </c>
      <c r="B423">
        <v>148</v>
      </c>
    </row>
    <row r="424" spans="1:4" hidden="1" x14ac:dyDescent="0.35">
      <c r="A424" t="s">
        <v>20</v>
      </c>
      <c r="B424">
        <v>114</v>
      </c>
      <c r="D424"/>
    </row>
    <row r="425" spans="1:4" x14ac:dyDescent="0.35">
      <c r="A425" s="13" t="s">
        <v>20</v>
      </c>
      <c r="B425">
        <v>1518</v>
      </c>
    </row>
    <row r="426" spans="1:4" x14ac:dyDescent="0.35">
      <c r="A426" s="13" t="s">
        <v>20</v>
      </c>
      <c r="B426">
        <v>166</v>
      </c>
    </row>
    <row r="427" spans="1:4" hidden="1" x14ac:dyDescent="0.35">
      <c r="A427" t="s">
        <v>20</v>
      </c>
      <c r="B427">
        <v>100</v>
      </c>
      <c r="D427"/>
    </row>
    <row r="428" spans="1:4" hidden="1" x14ac:dyDescent="0.35">
      <c r="A428" t="s">
        <v>20</v>
      </c>
      <c r="B428">
        <v>235</v>
      </c>
      <c r="D428"/>
    </row>
    <row r="429" spans="1:4" hidden="1" x14ac:dyDescent="0.35">
      <c r="A429" t="s">
        <v>20</v>
      </c>
      <c r="B429">
        <v>148</v>
      </c>
      <c r="D429"/>
    </row>
    <row r="430" spans="1:4" x14ac:dyDescent="0.35">
      <c r="A430" s="13" t="s">
        <v>20</v>
      </c>
      <c r="B430">
        <v>198</v>
      </c>
    </row>
    <row r="431" spans="1:4" hidden="1" x14ac:dyDescent="0.35">
      <c r="A431" t="s">
        <v>20</v>
      </c>
      <c r="B431">
        <v>150</v>
      </c>
      <c r="D431"/>
    </row>
    <row r="432" spans="1:4" x14ac:dyDescent="0.35">
      <c r="A432" s="13" t="s">
        <v>20</v>
      </c>
      <c r="B432">
        <v>216</v>
      </c>
    </row>
    <row r="433" spans="1:4" hidden="1" x14ac:dyDescent="0.35">
      <c r="A433" t="s">
        <v>20</v>
      </c>
      <c r="B433">
        <v>5139</v>
      </c>
      <c r="D433"/>
    </row>
    <row r="434" spans="1:4" x14ac:dyDescent="0.35">
      <c r="A434" s="13" t="s">
        <v>20</v>
      </c>
      <c r="B434">
        <v>2353</v>
      </c>
    </row>
    <row r="435" spans="1:4" x14ac:dyDescent="0.35">
      <c r="A435" s="13" t="s">
        <v>20</v>
      </c>
      <c r="B435">
        <v>78</v>
      </c>
    </row>
    <row r="436" spans="1:4" hidden="1" x14ac:dyDescent="0.35">
      <c r="A436" t="s">
        <v>20</v>
      </c>
      <c r="B436">
        <v>174</v>
      </c>
      <c r="D436"/>
    </row>
    <row r="437" spans="1:4" hidden="1" x14ac:dyDescent="0.35">
      <c r="A437" t="s">
        <v>20</v>
      </c>
      <c r="B437">
        <v>164</v>
      </c>
      <c r="D437"/>
    </row>
    <row r="438" spans="1:4" hidden="1" x14ac:dyDescent="0.35">
      <c r="A438" t="s">
        <v>20</v>
      </c>
      <c r="B438">
        <v>161</v>
      </c>
      <c r="D438"/>
    </row>
    <row r="439" spans="1:4" hidden="1" x14ac:dyDescent="0.35">
      <c r="A439" t="s">
        <v>20</v>
      </c>
      <c r="B439">
        <v>138</v>
      </c>
      <c r="D439"/>
    </row>
    <row r="440" spans="1:4" hidden="1" x14ac:dyDescent="0.35">
      <c r="A440" t="s">
        <v>20</v>
      </c>
      <c r="B440">
        <v>3308</v>
      </c>
      <c r="D440"/>
    </row>
    <row r="441" spans="1:4" hidden="1" x14ac:dyDescent="0.35">
      <c r="A441" t="s">
        <v>20</v>
      </c>
      <c r="B441">
        <v>127</v>
      </c>
      <c r="D441"/>
    </row>
    <row r="442" spans="1:4" hidden="1" x14ac:dyDescent="0.35">
      <c r="A442" t="s">
        <v>20</v>
      </c>
      <c r="B442">
        <v>207</v>
      </c>
      <c r="D442"/>
    </row>
    <row r="443" spans="1:4" x14ac:dyDescent="0.35">
      <c r="A443" s="13" t="s">
        <v>20</v>
      </c>
      <c r="B443">
        <v>181</v>
      </c>
    </row>
    <row r="444" spans="1:4" hidden="1" x14ac:dyDescent="0.35">
      <c r="A444" t="s">
        <v>20</v>
      </c>
      <c r="B444">
        <v>110</v>
      </c>
      <c r="D444"/>
    </row>
    <row r="445" spans="1:4" hidden="1" x14ac:dyDescent="0.35">
      <c r="A445" t="s">
        <v>20</v>
      </c>
      <c r="B445">
        <v>185</v>
      </c>
      <c r="D445"/>
    </row>
    <row r="446" spans="1:4" hidden="1" x14ac:dyDescent="0.35">
      <c r="A446" t="s">
        <v>20</v>
      </c>
      <c r="B446">
        <v>121</v>
      </c>
      <c r="D446"/>
    </row>
    <row r="447" spans="1:4" hidden="1" x14ac:dyDescent="0.35">
      <c r="A447" t="s">
        <v>20</v>
      </c>
      <c r="B447">
        <v>106</v>
      </c>
      <c r="D447"/>
    </row>
    <row r="448" spans="1:4" x14ac:dyDescent="0.35">
      <c r="A448" s="13" t="s">
        <v>20</v>
      </c>
      <c r="B448">
        <v>142</v>
      </c>
    </row>
    <row r="449" spans="1:4" hidden="1" x14ac:dyDescent="0.35">
      <c r="A449" t="s">
        <v>20</v>
      </c>
      <c r="B449">
        <v>233</v>
      </c>
      <c r="D449"/>
    </row>
    <row r="450" spans="1:4" x14ac:dyDescent="0.35">
      <c r="A450" s="13" t="s">
        <v>20</v>
      </c>
      <c r="B450">
        <v>218</v>
      </c>
    </row>
    <row r="451" spans="1:4" hidden="1" x14ac:dyDescent="0.35">
      <c r="A451" t="s">
        <v>20</v>
      </c>
      <c r="B451">
        <v>76</v>
      </c>
      <c r="D451"/>
    </row>
    <row r="452" spans="1:4" x14ac:dyDescent="0.35">
      <c r="A452" s="13" t="s">
        <v>20</v>
      </c>
      <c r="B452">
        <v>43</v>
      </c>
    </row>
    <row r="453" spans="1:4" hidden="1" x14ac:dyDescent="0.35">
      <c r="A453" t="s">
        <v>20</v>
      </c>
      <c r="B453">
        <v>221</v>
      </c>
      <c r="D453"/>
    </row>
    <row r="454" spans="1:4" x14ac:dyDescent="0.35">
      <c r="A454" s="13" t="s">
        <v>20</v>
      </c>
      <c r="B454">
        <v>2805</v>
      </c>
    </row>
    <row r="455" spans="1:4" x14ac:dyDescent="0.35">
      <c r="A455" s="13" t="s">
        <v>20</v>
      </c>
      <c r="B455">
        <v>68</v>
      </c>
    </row>
    <row r="456" spans="1:4" x14ac:dyDescent="0.35">
      <c r="A456" s="13" t="s">
        <v>20</v>
      </c>
      <c r="B456">
        <v>183</v>
      </c>
    </row>
    <row r="457" spans="1:4" hidden="1" x14ac:dyDescent="0.35">
      <c r="A457" t="s">
        <v>20</v>
      </c>
      <c r="B457">
        <v>133</v>
      </c>
      <c r="D457"/>
    </row>
    <row r="458" spans="1:4" hidden="1" x14ac:dyDescent="0.35">
      <c r="A458" t="s">
        <v>20</v>
      </c>
      <c r="B458">
        <v>2489</v>
      </c>
      <c r="D458"/>
    </row>
    <row r="459" spans="1:4" x14ac:dyDescent="0.35">
      <c r="A459" s="13" t="s">
        <v>20</v>
      </c>
      <c r="B459">
        <v>69</v>
      </c>
    </row>
    <row r="460" spans="1:4" hidden="1" x14ac:dyDescent="0.35">
      <c r="A460" t="s">
        <v>20</v>
      </c>
      <c r="B460">
        <v>279</v>
      </c>
      <c r="D460"/>
    </row>
    <row r="461" spans="1:4" x14ac:dyDescent="0.35">
      <c r="A461" s="13" t="s">
        <v>20</v>
      </c>
      <c r="B461">
        <v>210</v>
      </c>
    </row>
    <row r="462" spans="1:4" hidden="1" x14ac:dyDescent="0.35">
      <c r="A462" t="s">
        <v>20</v>
      </c>
      <c r="B462">
        <v>2100</v>
      </c>
      <c r="D462"/>
    </row>
    <row r="463" spans="1:4" hidden="1" x14ac:dyDescent="0.35">
      <c r="A463" t="s">
        <v>20</v>
      </c>
      <c r="B463">
        <v>252</v>
      </c>
      <c r="D463"/>
    </row>
    <row r="464" spans="1:4" x14ac:dyDescent="0.35">
      <c r="A464" s="13" t="s">
        <v>20</v>
      </c>
      <c r="B464">
        <v>1280</v>
      </c>
    </row>
    <row r="465" spans="1:4" hidden="1" x14ac:dyDescent="0.35">
      <c r="A465" t="s">
        <v>20</v>
      </c>
      <c r="B465">
        <v>157</v>
      </c>
      <c r="D465"/>
    </row>
    <row r="466" spans="1:4" hidden="1" x14ac:dyDescent="0.35">
      <c r="A466" t="s">
        <v>20</v>
      </c>
      <c r="B466">
        <v>194</v>
      </c>
      <c r="D466"/>
    </row>
    <row r="467" spans="1:4" hidden="1" x14ac:dyDescent="0.35">
      <c r="A467" t="s">
        <v>20</v>
      </c>
      <c r="B467">
        <v>82</v>
      </c>
      <c r="D467"/>
    </row>
    <row r="468" spans="1:4" hidden="1" x14ac:dyDescent="0.35">
      <c r="A468" t="s">
        <v>20</v>
      </c>
      <c r="B468">
        <v>4233</v>
      </c>
      <c r="D468"/>
    </row>
    <row r="469" spans="1:4" hidden="1" x14ac:dyDescent="0.35">
      <c r="A469" t="s">
        <v>20</v>
      </c>
      <c r="B469">
        <v>1297</v>
      </c>
      <c r="D469"/>
    </row>
    <row r="470" spans="1:4" x14ac:dyDescent="0.35">
      <c r="A470" s="13" t="s">
        <v>20</v>
      </c>
      <c r="B470">
        <v>165</v>
      </c>
    </row>
    <row r="471" spans="1:4" hidden="1" x14ac:dyDescent="0.35">
      <c r="A471" t="s">
        <v>20</v>
      </c>
      <c r="B471">
        <v>119</v>
      </c>
      <c r="D471"/>
    </row>
    <row r="472" spans="1:4" hidden="1" x14ac:dyDescent="0.35">
      <c r="A472" t="s">
        <v>20</v>
      </c>
      <c r="B472">
        <v>1797</v>
      </c>
      <c r="D472"/>
    </row>
    <row r="473" spans="1:4" hidden="1" x14ac:dyDescent="0.35">
      <c r="A473" t="s">
        <v>20</v>
      </c>
      <c r="B473">
        <v>261</v>
      </c>
      <c r="D473"/>
    </row>
    <row r="474" spans="1:4" x14ac:dyDescent="0.35">
      <c r="A474" s="13" t="s">
        <v>20</v>
      </c>
      <c r="B474">
        <v>157</v>
      </c>
    </row>
    <row r="475" spans="1:4" hidden="1" x14ac:dyDescent="0.35">
      <c r="A475" t="s">
        <v>20</v>
      </c>
      <c r="B475">
        <v>3533</v>
      </c>
      <c r="D475"/>
    </row>
    <row r="476" spans="1:4" hidden="1" x14ac:dyDescent="0.35">
      <c r="A476" t="s">
        <v>20</v>
      </c>
      <c r="B476">
        <v>155</v>
      </c>
      <c r="D476"/>
    </row>
    <row r="477" spans="1:4" hidden="1" x14ac:dyDescent="0.35">
      <c r="A477" t="s">
        <v>20</v>
      </c>
      <c r="B477">
        <v>132</v>
      </c>
      <c r="D477"/>
    </row>
    <row r="478" spans="1:4" x14ac:dyDescent="0.35">
      <c r="A478" s="13" t="s">
        <v>20</v>
      </c>
      <c r="B478">
        <v>1354</v>
      </c>
    </row>
    <row r="479" spans="1:4" x14ac:dyDescent="0.35">
      <c r="A479" s="13" t="s">
        <v>20</v>
      </c>
      <c r="B479">
        <v>48</v>
      </c>
    </row>
    <row r="480" spans="1:4" hidden="1" x14ac:dyDescent="0.35">
      <c r="A480" t="s">
        <v>20</v>
      </c>
      <c r="B480">
        <v>110</v>
      </c>
      <c r="D480"/>
    </row>
    <row r="481" spans="1:4" hidden="1" x14ac:dyDescent="0.35">
      <c r="A481" t="s">
        <v>20</v>
      </c>
      <c r="B481">
        <v>172</v>
      </c>
      <c r="D481"/>
    </row>
    <row r="482" spans="1:4" hidden="1" x14ac:dyDescent="0.35">
      <c r="A482" t="s">
        <v>20</v>
      </c>
      <c r="B482">
        <v>307</v>
      </c>
      <c r="D482"/>
    </row>
    <row r="483" spans="1:4" x14ac:dyDescent="0.35">
      <c r="A483" s="13" t="s">
        <v>20</v>
      </c>
      <c r="B483">
        <v>160</v>
      </c>
    </row>
    <row r="484" spans="1:4" x14ac:dyDescent="0.35">
      <c r="A484" s="13" t="s">
        <v>20</v>
      </c>
      <c r="B484">
        <v>1467</v>
      </c>
    </row>
    <row r="485" spans="1:4" x14ac:dyDescent="0.35">
      <c r="A485" s="13" t="s">
        <v>20</v>
      </c>
      <c r="B485">
        <v>2662</v>
      </c>
    </row>
    <row r="486" spans="1:4" hidden="1" x14ac:dyDescent="0.35">
      <c r="A486" t="s">
        <v>20</v>
      </c>
      <c r="B486">
        <v>452</v>
      </c>
      <c r="D486"/>
    </row>
    <row r="487" spans="1:4" x14ac:dyDescent="0.35">
      <c r="A487" s="13" t="s">
        <v>20</v>
      </c>
      <c r="B487">
        <v>158</v>
      </c>
    </row>
    <row r="488" spans="1:4" x14ac:dyDescent="0.35">
      <c r="A488" s="13" t="s">
        <v>20</v>
      </c>
      <c r="B488">
        <v>225</v>
      </c>
    </row>
    <row r="489" spans="1:4" hidden="1" x14ac:dyDescent="0.35">
      <c r="A489" t="s">
        <v>20</v>
      </c>
      <c r="B489">
        <v>65</v>
      </c>
      <c r="D489"/>
    </row>
    <row r="490" spans="1:4" hidden="1" x14ac:dyDescent="0.35">
      <c r="A490" t="s">
        <v>20</v>
      </c>
      <c r="B490">
        <v>163</v>
      </c>
      <c r="D490"/>
    </row>
    <row r="491" spans="1:4" hidden="1" x14ac:dyDescent="0.35">
      <c r="A491" t="s">
        <v>20</v>
      </c>
      <c r="B491">
        <v>85</v>
      </c>
      <c r="D491"/>
    </row>
    <row r="492" spans="1:4" hidden="1" x14ac:dyDescent="0.35">
      <c r="A492" t="s">
        <v>20</v>
      </c>
      <c r="B492">
        <v>217</v>
      </c>
      <c r="D492"/>
    </row>
    <row r="493" spans="1:4" hidden="1" x14ac:dyDescent="0.35">
      <c r="A493" t="s">
        <v>20</v>
      </c>
      <c r="B493">
        <v>150</v>
      </c>
      <c r="D493"/>
    </row>
    <row r="494" spans="1:4" hidden="1" x14ac:dyDescent="0.35">
      <c r="A494" t="s">
        <v>20</v>
      </c>
      <c r="B494">
        <v>3272</v>
      </c>
      <c r="D494"/>
    </row>
    <row r="495" spans="1:4" hidden="1" x14ac:dyDescent="0.35">
      <c r="A495" t="s">
        <v>20</v>
      </c>
      <c r="B495">
        <v>300</v>
      </c>
      <c r="D495"/>
    </row>
    <row r="496" spans="1:4" hidden="1" x14ac:dyDescent="0.35">
      <c r="A496" t="s">
        <v>20</v>
      </c>
      <c r="B496">
        <v>126</v>
      </c>
      <c r="D496"/>
    </row>
    <row r="497" spans="1:4" hidden="1" x14ac:dyDescent="0.35">
      <c r="A497" t="s">
        <v>20</v>
      </c>
      <c r="B497">
        <v>2320</v>
      </c>
      <c r="D497"/>
    </row>
    <row r="498" spans="1:4" x14ac:dyDescent="0.35">
      <c r="A498" s="13" t="s">
        <v>20</v>
      </c>
      <c r="B498">
        <v>81</v>
      </c>
    </row>
    <row r="499" spans="1:4" x14ac:dyDescent="0.35">
      <c r="A499" s="13" t="s">
        <v>20</v>
      </c>
      <c r="B499">
        <v>1887</v>
      </c>
    </row>
    <row r="500" spans="1:4" x14ac:dyDescent="0.35">
      <c r="A500" s="13" t="s">
        <v>20</v>
      </c>
      <c r="B500">
        <v>4358</v>
      </c>
    </row>
    <row r="501" spans="1:4" x14ac:dyDescent="0.35">
      <c r="A501" s="13" t="s">
        <v>20</v>
      </c>
      <c r="B501">
        <v>53</v>
      </c>
    </row>
    <row r="502" spans="1:4" x14ac:dyDescent="0.35">
      <c r="A502" s="13" t="s">
        <v>20</v>
      </c>
      <c r="B502">
        <v>2414</v>
      </c>
    </row>
    <row r="503" spans="1:4" x14ac:dyDescent="0.35">
      <c r="A503" s="13" t="s">
        <v>20</v>
      </c>
      <c r="B503">
        <v>80</v>
      </c>
    </row>
    <row r="504" spans="1:4" hidden="1" x14ac:dyDescent="0.35">
      <c r="A504" t="s">
        <v>20</v>
      </c>
      <c r="B504">
        <v>193</v>
      </c>
      <c r="D504"/>
    </row>
    <row r="505" spans="1:4" hidden="1" x14ac:dyDescent="0.35">
      <c r="A505" t="s">
        <v>20</v>
      </c>
      <c r="B505">
        <v>52</v>
      </c>
      <c r="D505"/>
    </row>
    <row r="506" spans="1:4" x14ac:dyDescent="0.35">
      <c r="A506" s="13" t="s">
        <v>20</v>
      </c>
      <c r="B506">
        <v>290</v>
      </c>
    </row>
    <row r="507" spans="1:4" x14ac:dyDescent="0.35">
      <c r="A507" s="13" t="s">
        <v>20</v>
      </c>
      <c r="B507">
        <v>122</v>
      </c>
    </row>
    <row r="508" spans="1:4" hidden="1" x14ac:dyDescent="0.35">
      <c r="A508" t="s">
        <v>20</v>
      </c>
      <c r="B508">
        <v>1470</v>
      </c>
      <c r="D508"/>
    </row>
    <row r="509" spans="1:4" x14ac:dyDescent="0.35">
      <c r="A509" s="13" t="s">
        <v>20</v>
      </c>
      <c r="B509">
        <v>165</v>
      </c>
    </row>
    <row r="510" spans="1:4" hidden="1" x14ac:dyDescent="0.35">
      <c r="A510" t="s">
        <v>20</v>
      </c>
      <c r="B510">
        <v>182</v>
      </c>
      <c r="D510"/>
    </row>
    <row r="511" spans="1:4" x14ac:dyDescent="0.35">
      <c r="A511" s="13" t="s">
        <v>20</v>
      </c>
      <c r="B511">
        <v>199</v>
      </c>
    </row>
    <row r="512" spans="1:4" hidden="1" x14ac:dyDescent="0.35">
      <c r="A512" t="s">
        <v>20</v>
      </c>
      <c r="B512">
        <v>56</v>
      </c>
      <c r="D512"/>
    </row>
    <row r="513" spans="1:4" x14ac:dyDescent="0.35">
      <c r="A513" s="13" t="s">
        <v>20</v>
      </c>
      <c r="B513">
        <v>1460</v>
      </c>
    </row>
    <row r="514" spans="1:4" hidden="1" x14ac:dyDescent="0.35">
      <c r="A514" t="s">
        <v>20</v>
      </c>
      <c r="B514">
        <v>123</v>
      </c>
      <c r="D514"/>
    </row>
    <row r="515" spans="1:4" hidden="1" x14ac:dyDescent="0.35">
      <c r="A515" t="s">
        <v>20</v>
      </c>
      <c r="B515">
        <v>159</v>
      </c>
      <c r="D515"/>
    </row>
    <row r="516" spans="1:4" hidden="1" x14ac:dyDescent="0.35">
      <c r="A516" t="s">
        <v>20</v>
      </c>
      <c r="B516">
        <v>110</v>
      </c>
      <c r="D516"/>
    </row>
    <row r="517" spans="1:4" x14ac:dyDescent="0.35">
      <c r="A517" s="13" t="s">
        <v>20</v>
      </c>
      <c r="B517">
        <v>236</v>
      </c>
    </row>
    <row r="518" spans="1:4" x14ac:dyDescent="0.35">
      <c r="A518" s="13" t="s">
        <v>20</v>
      </c>
      <c r="B518">
        <v>191</v>
      </c>
    </row>
    <row r="519" spans="1:4" hidden="1" x14ac:dyDescent="0.35">
      <c r="A519" t="s">
        <v>20</v>
      </c>
      <c r="B519">
        <v>3934</v>
      </c>
      <c r="D519"/>
    </row>
    <row r="520" spans="1:4" x14ac:dyDescent="0.35">
      <c r="A520" s="13" t="s">
        <v>20</v>
      </c>
      <c r="B520">
        <v>80</v>
      </c>
    </row>
    <row r="521" spans="1:4" hidden="1" x14ac:dyDescent="0.35">
      <c r="A521" t="s">
        <v>20</v>
      </c>
      <c r="B521">
        <v>462</v>
      </c>
      <c r="D521"/>
    </row>
    <row r="522" spans="1:4" hidden="1" x14ac:dyDescent="0.35">
      <c r="A522" t="s">
        <v>20</v>
      </c>
      <c r="B522">
        <v>179</v>
      </c>
      <c r="D522"/>
    </row>
    <row r="523" spans="1:4" hidden="1" x14ac:dyDescent="0.35">
      <c r="A523" t="s">
        <v>20</v>
      </c>
      <c r="B523">
        <v>1866</v>
      </c>
      <c r="D523"/>
    </row>
    <row r="524" spans="1:4" x14ac:dyDescent="0.35">
      <c r="A524" s="13" t="s">
        <v>20</v>
      </c>
      <c r="B524">
        <v>156</v>
      </c>
    </row>
    <row r="525" spans="1:4" hidden="1" x14ac:dyDescent="0.35">
      <c r="A525" t="s">
        <v>20</v>
      </c>
      <c r="B525">
        <v>255</v>
      </c>
      <c r="D525"/>
    </row>
    <row r="526" spans="1:4" x14ac:dyDescent="0.35">
      <c r="A526" s="13" t="s">
        <v>20</v>
      </c>
      <c r="B526">
        <v>2261</v>
      </c>
    </row>
    <row r="527" spans="1:4" x14ac:dyDescent="0.35">
      <c r="A527" s="13" t="s">
        <v>20</v>
      </c>
      <c r="B527">
        <v>40</v>
      </c>
    </row>
    <row r="528" spans="1:4" hidden="1" x14ac:dyDescent="0.35">
      <c r="A528" t="s">
        <v>20</v>
      </c>
      <c r="B528">
        <v>2289</v>
      </c>
      <c r="D528"/>
    </row>
    <row r="529" spans="1:4" x14ac:dyDescent="0.35">
      <c r="A529" s="13" t="s">
        <v>20</v>
      </c>
      <c r="B529">
        <v>65</v>
      </c>
    </row>
    <row r="530" spans="1:4" x14ac:dyDescent="0.35">
      <c r="A530" s="13" t="s">
        <v>20</v>
      </c>
      <c r="B530">
        <v>3777</v>
      </c>
    </row>
    <row r="531" spans="1:4" x14ac:dyDescent="0.35">
      <c r="A531" s="13" t="s">
        <v>20</v>
      </c>
      <c r="B531">
        <v>184</v>
      </c>
    </row>
    <row r="532" spans="1:4" x14ac:dyDescent="0.35">
      <c r="A532" s="13" t="s">
        <v>20</v>
      </c>
      <c r="B532">
        <v>85</v>
      </c>
    </row>
    <row r="533" spans="1:4" hidden="1" x14ac:dyDescent="0.35">
      <c r="A533" t="s">
        <v>20</v>
      </c>
      <c r="B533">
        <v>144</v>
      </c>
      <c r="D533"/>
    </row>
    <row r="534" spans="1:4" hidden="1" x14ac:dyDescent="0.35">
      <c r="A534" t="s">
        <v>20</v>
      </c>
      <c r="B534">
        <v>1902</v>
      </c>
      <c r="D534"/>
    </row>
    <row r="535" spans="1:4" hidden="1" x14ac:dyDescent="0.35">
      <c r="A535" t="s">
        <v>20</v>
      </c>
      <c r="B535">
        <v>105</v>
      </c>
      <c r="D535"/>
    </row>
    <row r="536" spans="1:4" x14ac:dyDescent="0.35">
      <c r="A536" s="13" t="s">
        <v>20</v>
      </c>
      <c r="B536">
        <v>132</v>
      </c>
    </row>
    <row r="537" spans="1:4" hidden="1" x14ac:dyDescent="0.35">
      <c r="A537" t="s">
        <v>20</v>
      </c>
      <c r="B537">
        <v>96</v>
      </c>
      <c r="D537"/>
    </row>
    <row r="538" spans="1:4" hidden="1" x14ac:dyDescent="0.35">
      <c r="A538" t="s">
        <v>20</v>
      </c>
      <c r="B538">
        <v>114</v>
      </c>
      <c r="D538"/>
    </row>
    <row r="539" spans="1:4" hidden="1" x14ac:dyDescent="0.35">
      <c r="A539" t="s">
        <v>20</v>
      </c>
      <c r="B539">
        <v>203</v>
      </c>
      <c r="D539"/>
    </row>
    <row r="540" spans="1:4" x14ac:dyDescent="0.35">
      <c r="A540" s="13" t="s">
        <v>20</v>
      </c>
      <c r="B540">
        <v>1559</v>
      </c>
    </row>
    <row r="541" spans="1:4" x14ac:dyDescent="0.35">
      <c r="A541" s="13" t="s">
        <v>20</v>
      </c>
      <c r="B541">
        <v>1548</v>
      </c>
    </row>
    <row r="542" spans="1:4" hidden="1" x14ac:dyDescent="0.35">
      <c r="A542" t="s">
        <v>20</v>
      </c>
      <c r="B542">
        <v>80</v>
      </c>
      <c r="D542"/>
    </row>
    <row r="543" spans="1:4" x14ac:dyDescent="0.35">
      <c r="A543" s="13" t="s">
        <v>20</v>
      </c>
      <c r="B543">
        <v>131</v>
      </c>
    </row>
    <row r="544" spans="1:4" x14ac:dyDescent="0.35">
      <c r="A544" s="13" t="s">
        <v>20</v>
      </c>
      <c r="B544">
        <v>112</v>
      </c>
    </row>
    <row r="545" spans="1:4" x14ac:dyDescent="0.35">
      <c r="A545" s="13" t="s">
        <v>20</v>
      </c>
      <c r="B545">
        <v>155</v>
      </c>
    </row>
    <row r="546" spans="1:4" hidden="1" x14ac:dyDescent="0.35">
      <c r="A546" t="s">
        <v>20</v>
      </c>
      <c r="B546">
        <v>266</v>
      </c>
      <c r="D546"/>
    </row>
    <row r="547" spans="1:4" x14ac:dyDescent="0.35">
      <c r="A547" s="13" t="s">
        <v>20</v>
      </c>
      <c r="B547">
        <v>155</v>
      </c>
    </row>
    <row r="548" spans="1:4" hidden="1" x14ac:dyDescent="0.35">
      <c r="A548" t="s">
        <v>20</v>
      </c>
      <c r="B548">
        <v>207</v>
      </c>
      <c r="D548"/>
    </row>
    <row r="549" spans="1:4" hidden="1" x14ac:dyDescent="0.35">
      <c r="A549" t="s">
        <v>20</v>
      </c>
      <c r="B549">
        <v>245</v>
      </c>
      <c r="D549"/>
    </row>
    <row r="550" spans="1:4" hidden="1" x14ac:dyDescent="0.35">
      <c r="A550" t="s">
        <v>20</v>
      </c>
      <c r="B550">
        <v>1573</v>
      </c>
      <c r="D550"/>
    </row>
    <row r="551" spans="1:4" hidden="1" x14ac:dyDescent="0.35">
      <c r="A551" t="s">
        <v>20</v>
      </c>
      <c r="B551">
        <v>114</v>
      </c>
      <c r="D551"/>
    </row>
    <row r="552" spans="1:4" hidden="1" x14ac:dyDescent="0.35">
      <c r="A552" t="s">
        <v>20</v>
      </c>
      <c r="B552">
        <v>93</v>
      </c>
      <c r="D552"/>
    </row>
    <row r="553" spans="1:4" x14ac:dyDescent="0.35">
      <c r="A553" s="13" t="s">
        <v>20</v>
      </c>
      <c r="B553">
        <v>1681</v>
      </c>
    </row>
    <row r="554" spans="1:4" x14ac:dyDescent="0.35">
      <c r="A554" s="13" t="s">
        <v>20</v>
      </c>
      <c r="B554">
        <v>32</v>
      </c>
    </row>
    <row r="555" spans="1:4" x14ac:dyDescent="0.35">
      <c r="A555" s="13" t="s">
        <v>20</v>
      </c>
      <c r="B555">
        <v>135</v>
      </c>
    </row>
    <row r="556" spans="1:4" hidden="1" x14ac:dyDescent="0.35">
      <c r="A556" t="s">
        <v>20</v>
      </c>
      <c r="B556">
        <v>140</v>
      </c>
      <c r="D556"/>
    </row>
    <row r="557" spans="1:4" hidden="1" x14ac:dyDescent="0.35">
      <c r="A557" t="s">
        <v>20</v>
      </c>
      <c r="B557">
        <v>92</v>
      </c>
      <c r="D557"/>
    </row>
    <row r="558" spans="1:4" hidden="1" x14ac:dyDescent="0.35">
      <c r="A558" t="s">
        <v>20</v>
      </c>
      <c r="B558">
        <v>1015</v>
      </c>
      <c r="D558"/>
    </row>
    <row r="559" spans="1:4" hidden="1" x14ac:dyDescent="0.35">
      <c r="A559" t="s">
        <v>20</v>
      </c>
      <c r="B559">
        <v>323</v>
      </c>
      <c r="D559"/>
    </row>
    <row r="560" spans="1:4" hidden="1" x14ac:dyDescent="0.35">
      <c r="A560" t="s">
        <v>20</v>
      </c>
      <c r="B560">
        <v>2326</v>
      </c>
      <c r="D560"/>
    </row>
    <row r="561" spans="1:4" hidden="1" x14ac:dyDescent="0.35">
      <c r="A561" t="s">
        <v>20</v>
      </c>
      <c r="B561">
        <v>381</v>
      </c>
      <c r="D561"/>
    </row>
    <row r="562" spans="1:4" hidden="1" x14ac:dyDescent="0.35">
      <c r="A562" t="s">
        <v>20</v>
      </c>
      <c r="B562">
        <v>480</v>
      </c>
      <c r="D562"/>
    </row>
    <row r="563" spans="1:4" hidden="1" x14ac:dyDescent="0.35">
      <c r="A563" t="s">
        <v>20</v>
      </c>
      <c r="B563">
        <v>226</v>
      </c>
      <c r="D563"/>
    </row>
    <row r="564" spans="1:4" x14ac:dyDescent="0.35">
      <c r="A564" s="13" t="s">
        <v>20</v>
      </c>
      <c r="B564">
        <v>241</v>
      </c>
    </row>
    <row r="565" spans="1:4" hidden="1" x14ac:dyDescent="0.35">
      <c r="A565" t="s">
        <v>20</v>
      </c>
      <c r="B565">
        <v>132</v>
      </c>
      <c r="D565"/>
    </row>
    <row r="566" spans="1:4" x14ac:dyDescent="0.35">
      <c r="A566" s="13" t="s">
        <v>20</v>
      </c>
      <c r="B566">
        <v>2043</v>
      </c>
    </row>
    <row r="567" spans="1:4" hidden="1" x14ac:dyDescent="0.35">
      <c r="A567"/>
      <c r="D567"/>
    </row>
    <row r="569" spans="1:4" hidden="1" x14ac:dyDescent="0.35">
      <c r="A569"/>
      <c r="D569"/>
    </row>
    <row r="570" spans="1:4" hidden="1" x14ac:dyDescent="0.35">
      <c r="A570"/>
      <c r="D570"/>
    </row>
    <row r="571" spans="1:4" hidden="1" x14ac:dyDescent="0.35">
      <c r="A571"/>
      <c r="D571"/>
    </row>
    <row r="572" spans="1:4" hidden="1" x14ac:dyDescent="0.35">
      <c r="A572"/>
      <c r="D572"/>
    </row>
    <row r="574" spans="1:4" hidden="1" x14ac:dyDescent="0.35">
      <c r="A574"/>
      <c r="D574"/>
    </row>
    <row r="575" spans="1:4" hidden="1" x14ac:dyDescent="0.35">
      <c r="A575"/>
      <c r="D575"/>
    </row>
    <row r="576" spans="1:4" hidden="1" x14ac:dyDescent="0.35">
      <c r="A576"/>
      <c r="D576"/>
    </row>
    <row r="579" spans="1:4" hidden="1" x14ac:dyDescent="0.35">
      <c r="A579"/>
      <c r="D579"/>
    </row>
    <row r="581" spans="1:4" hidden="1" x14ac:dyDescent="0.35">
      <c r="A581"/>
      <c r="D581"/>
    </row>
    <row r="582" spans="1:4" hidden="1" x14ac:dyDescent="0.35">
      <c r="A582"/>
      <c r="D582"/>
    </row>
    <row r="585" spans="1:4" hidden="1" x14ac:dyDescent="0.35">
      <c r="A585"/>
      <c r="D585"/>
    </row>
    <row r="586" spans="1:4" hidden="1" x14ac:dyDescent="0.35">
      <c r="A586"/>
      <c r="D586"/>
    </row>
    <row r="587" spans="1:4" hidden="1" x14ac:dyDescent="0.35">
      <c r="A587"/>
      <c r="D587"/>
    </row>
    <row r="588" spans="1:4" hidden="1" x14ac:dyDescent="0.35">
      <c r="A588"/>
      <c r="D588"/>
    </row>
    <row r="593" spans="1:4" hidden="1" x14ac:dyDescent="0.35">
      <c r="A593"/>
      <c r="D593"/>
    </row>
    <row r="595" spans="1:4" hidden="1" x14ac:dyDescent="0.35">
      <c r="A595"/>
      <c r="D595"/>
    </row>
    <row r="597" spans="1:4" hidden="1" x14ac:dyDescent="0.35">
      <c r="A597"/>
      <c r="D597"/>
    </row>
    <row r="599" spans="1:4" hidden="1" x14ac:dyDescent="0.35">
      <c r="A599"/>
      <c r="D599"/>
    </row>
    <row r="600" spans="1:4" hidden="1" x14ac:dyDescent="0.35">
      <c r="A600"/>
      <c r="D600"/>
    </row>
    <row r="603" spans="1:4" hidden="1" x14ac:dyDescent="0.35">
      <c r="A603"/>
      <c r="D603"/>
    </row>
    <row r="604" spans="1:4" hidden="1" x14ac:dyDescent="0.35">
      <c r="A604"/>
      <c r="D604"/>
    </row>
    <row r="605" spans="1:4" hidden="1" x14ac:dyDescent="0.35">
      <c r="A605"/>
      <c r="D605"/>
    </row>
    <row r="606" spans="1:4" hidden="1" x14ac:dyDescent="0.35">
      <c r="A606"/>
      <c r="D606"/>
    </row>
    <row r="607" spans="1:4" hidden="1" x14ac:dyDescent="0.35">
      <c r="A607"/>
      <c r="D607"/>
    </row>
    <row r="608" spans="1:4" hidden="1" x14ac:dyDescent="0.35">
      <c r="A608"/>
      <c r="D608"/>
    </row>
    <row r="609" spans="1:4" hidden="1" x14ac:dyDescent="0.35">
      <c r="A609"/>
      <c r="D609"/>
    </row>
    <row r="610" spans="1:4" hidden="1" x14ac:dyDescent="0.35">
      <c r="A610"/>
      <c r="D610"/>
    </row>
    <row r="611" spans="1:4" hidden="1" x14ac:dyDescent="0.35">
      <c r="A611"/>
      <c r="D611"/>
    </row>
    <row r="612" spans="1:4" hidden="1" x14ac:dyDescent="0.35">
      <c r="A612"/>
      <c r="D612"/>
    </row>
    <row r="613" spans="1:4" hidden="1" x14ac:dyDescent="0.35">
      <c r="A613"/>
      <c r="D613"/>
    </row>
    <row r="614" spans="1:4" hidden="1" x14ac:dyDescent="0.35">
      <c r="A614"/>
      <c r="D614"/>
    </row>
    <row r="615" spans="1:4" hidden="1" x14ac:dyDescent="0.35">
      <c r="A615"/>
      <c r="D615"/>
    </row>
    <row r="616" spans="1:4" hidden="1" x14ac:dyDescent="0.35">
      <c r="A616"/>
      <c r="D616"/>
    </row>
    <row r="617" spans="1:4" hidden="1" x14ac:dyDescent="0.35">
      <c r="A617"/>
      <c r="D617"/>
    </row>
    <row r="618" spans="1:4" hidden="1" x14ac:dyDescent="0.35">
      <c r="A618"/>
      <c r="D618"/>
    </row>
    <row r="619" spans="1:4" hidden="1" x14ac:dyDescent="0.35">
      <c r="A619"/>
      <c r="D619"/>
    </row>
    <row r="622" spans="1:4" hidden="1" x14ac:dyDescent="0.35">
      <c r="A622"/>
      <c r="D622"/>
    </row>
    <row r="623" spans="1:4" hidden="1" x14ac:dyDescent="0.35">
      <c r="A623"/>
      <c r="D623"/>
    </row>
    <row r="625" spans="1:4" hidden="1" x14ac:dyDescent="0.35">
      <c r="A625"/>
      <c r="D625"/>
    </row>
    <row r="626" spans="1:4" hidden="1" x14ac:dyDescent="0.35">
      <c r="A626"/>
      <c r="D626"/>
    </row>
    <row r="628" spans="1:4" hidden="1" x14ac:dyDescent="0.35">
      <c r="A628"/>
      <c r="D628"/>
    </row>
    <row r="629" spans="1:4" hidden="1" x14ac:dyDescent="0.35">
      <c r="A629"/>
      <c r="D629"/>
    </row>
    <row r="630" spans="1:4" hidden="1" x14ac:dyDescent="0.35">
      <c r="A630"/>
      <c r="D630"/>
    </row>
    <row r="632" spans="1:4" hidden="1" x14ac:dyDescent="0.35">
      <c r="A632"/>
      <c r="D632"/>
    </row>
    <row r="633" spans="1:4" hidden="1" x14ac:dyDescent="0.35">
      <c r="A633"/>
      <c r="D633"/>
    </row>
    <row r="634" spans="1:4" hidden="1" x14ac:dyDescent="0.35">
      <c r="A634"/>
      <c r="D634"/>
    </row>
    <row r="636" spans="1:4" hidden="1" x14ac:dyDescent="0.35">
      <c r="A636"/>
      <c r="D636"/>
    </row>
    <row r="637" spans="1:4" hidden="1" x14ac:dyDescent="0.35">
      <c r="A637"/>
      <c r="D637"/>
    </row>
    <row r="641" spans="1:4" hidden="1" x14ac:dyDescent="0.35">
      <c r="A641"/>
      <c r="D641"/>
    </row>
    <row r="643" spans="1:4" hidden="1" x14ac:dyDescent="0.35">
      <c r="A643"/>
      <c r="D643"/>
    </row>
    <row r="644" spans="1:4" hidden="1" x14ac:dyDescent="0.35">
      <c r="A644"/>
      <c r="D644"/>
    </row>
    <row r="645" spans="1:4" hidden="1" x14ac:dyDescent="0.35">
      <c r="A645"/>
      <c r="D645"/>
    </row>
    <row r="650" spans="1:4" hidden="1" x14ac:dyDescent="0.35">
      <c r="A650"/>
      <c r="D650"/>
    </row>
    <row r="654" spans="1:4" hidden="1" x14ac:dyDescent="0.35">
      <c r="A654"/>
      <c r="D654"/>
    </row>
    <row r="655" spans="1:4" hidden="1" x14ac:dyDescent="0.35">
      <c r="A655"/>
      <c r="D655"/>
    </row>
    <row r="656" spans="1:4" hidden="1" x14ac:dyDescent="0.35">
      <c r="A656"/>
      <c r="D656"/>
    </row>
    <row r="657" spans="1:4" hidden="1" x14ac:dyDescent="0.35">
      <c r="A657"/>
      <c r="D657"/>
    </row>
    <row r="660" spans="1:4" hidden="1" x14ac:dyDescent="0.35">
      <c r="A660"/>
      <c r="D660"/>
    </row>
    <row r="667" spans="1:4" hidden="1" x14ac:dyDescent="0.35">
      <c r="A667"/>
      <c r="D667"/>
    </row>
    <row r="668" spans="1:4" hidden="1" x14ac:dyDescent="0.35">
      <c r="A668"/>
      <c r="D668"/>
    </row>
    <row r="669" spans="1:4" hidden="1" x14ac:dyDescent="0.35">
      <c r="A669"/>
      <c r="D669"/>
    </row>
    <row r="671" spans="1:4" hidden="1" x14ac:dyDescent="0.35">
      <c r="A671"/>
      <c r="D671"/>
    </row>
    <row r="672" spans="1:4" hidden="1" x14ac:dyDescent="0.35">
      <c r="A672"/>
      <c r="D672"/>
    </row>
    <row r="673" spans="1:4" hidden="1" x14ac:dyDescent="0.35">
      <c r="A673"/>
      <c r="D673"/>
    </row>
    <row r="676" spans="1:4" hidden="1" x14ac:dyDescent="0.35">
      <c r="A676"/>
      <c r="D676"/>
    </row>
    <row r="677" spans="1:4" hidden="1" x14ac:dyDescent="0.35">
      <c r="A677"/>
      <c r="D677"/>
    </row>
    <row r="678" spans="1:4" hidden="1" x14ac:dyDescent="0.35">
      <c r="A678"/>
      <c r="D678"/>
    </row>
    <row r="680" spans="1:4" hidden="1" x14ac:dyDescent="0.35">
      <c r="A680"/>
      <c r="D680"/>
    </row>
    <row r="681" spans="1:4" hidden="1" x14ac:dyDescent="0.35">
      <c r="A681"/>
      <c r="D681"/>
    </row>
    <row r="684" spans="1:4" hidden="1" x14ac:dyDescent="0.35">
      <c r="A684"/>
      <c r="D684"/>
    </row>
    <row r="685" spans="1:4" hidden="1" x14ac:dyDescent="0.35">
      <c r="A685"/>
      <c r="D685"/>
    </row>
    <row r="686" spans="1:4" hidden="1" x14ac:dyDescent="0.35">
      <c r="A686"/>
      <c r="D686"/>
    </row>
    <row r="688" spans="1:4" hidden="1" x14ac:dyDescent="0.35">
      <c r="A688"/>
      <c r="D688"/>
    </row>
    <row r="689" spans="1:4" hidden="1" x14ac:dyDescent="0.35">
      <c r="A689"/>
      <c r="D689"/>
    </row>
    <row r="690" spans="1:4" hidden="1" x14ac:dyDescent="0.35">
      <c r="A690"/>
      <c r="D690"/>
    </row>
    <row r="691" spans="1:4" hidden="1" x14ac:dyDescent="0.35">
      <c r="A691"/>
      <c r="D691"/>
    </row>
    <row r="692" spans="1:4" hidden="1" x14ac:dyDescent="0.35">
      <c r="A692"/>
      <c r="D692"/>
    </row>
    <row r="693" spans="1:4" hidden="1" x14ac:dyDescent="0.35">
      <c r="A693"/>
      <c r="D693"/>
    </row>
    <row r="697" spans="1:4" hidden="1" x14ac:dyDescent="0.35">
      <c r="A697"/>
      <c r="D697"/>
    </row>
    <row r="699" spans="1:4" hidden="1" x14ac:dyDescent="0.35">
      <c r="A699"/>
      <c r="D699"/>
    </row>
    <row r="700" spans="1:4" hidden="1" x14ac:dyDescent="0.35">
      <c r="A700"/>
      <c r="D700"/>
    </row>
    <row r="703" spans="1:4" hidden="1" x14ac:dyDescent="0.35">
      <c r="A703"/>
      <c r="D703"/>
    </row>
    <row r="705" spans="1:4" hidden="1" x14ac:dyDescent="0.35">
      <c r="A705"/>
      <c r="D705"/>
    </row>
    <row r="706" spans="1:4" hidden="1" x14ac:dyDescent="0.35">
      <c r="A706"/>
      <c r="D706"/>
    </row>
    <row r="708" spans="1:4" hidden="1" x14ac:dyDescent="0.35">
      <c r="A708"/>
      <c r="D708"/>
    </row>
    <row r="709" spans="1:4" hidden="1" x14ac:dyDescent="0.35">
      <c r="A709"/>
      <c r="D709"/>
    </row>
    <row r="710" spans="1:4" hidden="1" x14ac:dyDescent="0.35">
      <c r="A710"/>
      <c r="D710"/>
    </row>
    <row r="711" spans="1:4" hidden="1" x14ac:dyDescent="0.35">
      <c r="A711"/>
      <c r="D711"/>
    </row>
    <row r="712" spans="1:4" hidden="1" x14ac:dyDescent="0.35">
      <c r="A712"/>
      <c r="D712"/>
    </row>
    <row r="714" spans="1:4" hidden="1" x14ac:dyDescent="0.35">
      <c r="A714"/>
      <c r="D714"/>
    </row>
    <row r="715" spans="1:4" hidden="1" x14ac:dyDescent="0.35">
      <c r="A715"/>
      <c r="D715"/>
    </row>
    <row r="716" spans="1:4" hidden="1" x14ac:dyDescent="0.35">
      <c r="A716"/>
      <c r="D716"/>
    </row>
    <row r="718" spans="1:4" hidden="1" x14ac:dyDescent="0.35">
      <c r="A718"/>
      <c r="D718"/>
    </row>
    <row r="719" spans="1:4" hidden="1" x14ac:dyDescent="0.35">
      <c r="A719"/>
      <c r="D719"/>
    </row>
    <row r="720" spans="1:4" hidden="1" x14ac:dyDescent="0.35">
      <c r="A720"/>
      <c r="D720"/>
    </row>
    <row r="721" spans="1:4" hidden="1" x14ac:dyDescent="0.35">
      <c r="A721"/>
      <c r="D721"/>
    </row>
    <row r="722" spans="1:4" hidden="1" x14ac:dyDescent="0.35">
      <c r="A722"/>
      <c r="D722"/>
    </row>
    <row r="723" spans="1:4" hidden="1" x14ac:dyDescent="0.35">
      <c r="A723"/>
      <c r="D723"/>
    </row>
    <row r="724" spans="1:4" hidden="1" x14ac:dyDescent="0.35">
      <c r="A724"/>
      <c r="D724"/>
    </row>
    <row r="725" spans="1:4" hidden="1" x14ac:dyDescent="0.35">
      <c r="A725"/>
      <c r="D725"/>
    </row>
    <row r="726" spans="1:4" hidden="1" x14ac:dyDescent="0.35">
      <c r="A726"/>
      <c r="D726"/>
    </row>
    <row r="728" spans="1:4" hidden="1" x14ac:dyDescent="0.35">
      <c r="A728"/>
      <c r="D728"/>
    </row>
    <row r="729" spans="1:4" hidden="1" x14ac:dyDescent="0.35">
      <c r="A729"/>
      <c r="D729"/>
    </row>
    <row r="731" spans="1:4" hidden="1" x14ac:dyDescent="0.35">
      <c r="A731"/>
      <c r="D731"/>
    </row>
    <row r="732" spans="1:4" hidden="1" x14ac:dyDescent="0.35">
      <c r="A732"/>
      <c r="D732"/>
    </row>
    <row r="733" spans="1:4" hidden="1" x14ac:dyDescent="0.35">
      <c r="A733"/>
      <c r="D733"/>
    </row>
    <row r="735" spans="1:4" hidden="1" x14ac:dyDescent="0.35">
      <c r="A735"/>
      <c r="D735"/>
    </row>
    <row r="736" spans="1:4" hidden="1" x14ac:dyDescent="0.35">
      <c r="A736"/>
      <c r="D736"/>
    </row>
    <row r="737" spans="1:4" hidden="1" x14ac:dyDescent="0.35">
      <c r="A737"/>
      <c r="D737"/>
    </row>
    <row r="738" spans="1:4" hidden="1" x14ac:dyDescent="0.35">
      <c r="A738"/>
      <c r="D738"/>
    </row>
    <row r="739" spans="1:4" hidden="1" x14ac:dyDescent="0.35">
      <c r="A739"/>
      <c r="D739"/>
    </row>
    <row r="743" spans="1:4" hidden="1" x14ac:dyDescent="0.35">
      <c r="A743"/>
      <c r="D743"/>
    </row>
    <row r="744" spans="1:4" hidden="1" x14ac:dyDescent="0.35">
      <c r="A744"/>
      <c r="D744"/>
    </row>
    <row r="746" spans="1:4" hidden="1" x14ac:dyDescent="0.35">
      <c r="A746"/>
      <c r="D746"/>
    </row>
    <row r="748" spans="1:4" hidden="1" x14ac:dyDescent="0.35">
      <c r="A748"/>
      <c r="D748"/>
    </row>
    <row r="749" spans="1:4" hidden="1" x14ac:dyDescent="0.35">
      <c r="A749"/>
      <c r="D749"/>
    </row>
    <row r="750" spans="1:4" hidden="1" x14ac:dyDescent="0.35">
      <c r="A750"/>
      <c r="D750"/>
    </row>
    <row r="751" spans="1:4" hidden="1" x14ac:dyDescent="0.35">
      <c r="A751"/>
      <c r="D751"/>
    </row>
    <row r="753" spans="1:4" hidden="1" x14ac:dyDescent="0.35">
      <c r="A753"/>
      <c r="D753"/>
    </row>
    <row r="754" spans="1:4" hidden="1" x14ac:dyDescent="0.35">
      <c r="A754"/>
      <c r="D754"/>
    </row>
    <row r="755" spans="1:4" hidden="1" x14ac:dyDescent="0.35">
      <c r="A755"/>
      <c r="D755"/>
    </row>
    <row r="756" spans="1:4" hidden="1" x14ac:dyDescent="0.35">
      <c r="A756"/>
      <c r="D756"/>
    </row>
    <row r="757" spans="1:4" hidden="1" x14ac:dyDescent="0.35">
      <c r="A757"/>
      <c r="D757"/>
    </row>
    <row r="758" spans="1:4" hidden="1" x14ac:dyDescent="0.35">
      <c r="A758"/>
      <c r="D758"/>
    </row>
    <row r="759" spans="1:4" hidden="1" x14ac:dyDescent="0.35">
      <c r="A759"/>
      <c r="D759"/>
    </row>
    <row r="760" spans="1:4" hidden="1" x14ac:dyDescent="0.35">
      <c r="A760"/>
      <c r="D760"/>
    </row>
    <row r="763" spans="1:4" hidden="1" x14ac:dyDescent="0.35">
      <c r="A763"/>
      <c r="D763"/>
    </row>
    <row r="764" spans="1:4" hidden="1" x14ac:dyDescent="0.35">
      <c r="A764"/>
      <c r="D764"/>
    </row>
    <row r="765" spans="1:4" hidden="1" x14ac:dyDescent="0.35">
      <c r="A765"/>
      <c r="D765"/>
    </row>
    <row r="766" spans="1:4" hidden="1" x14ac:dyDescent="0.35">
      <c r="A766"/>
      <c r="D766"/>
    </row>
    <row r="767" spans="1:4" hidden="1" x14ac:dyDescent="0.35">
      <c r="A767"/>
      <c r="D767"/>
    </row>
    <row r="770" spans="1:4" hidden="1" x14ac:dyDescent="0.35">
      <c r="A770"/>
      <c r="D770"/>
    </row>
    <row r="772" spans="1:4" hidden="1" x14ac:dyDescent="0.35">
      <c r="A772"/>
      <c r="D772"/>
    </row>
    <row r="773" spans="1:4" hidden="1" x14ac:dyDescent="0.35">
      <c r="A773"/>
      <c r="D773"/>
    </row>
    <row r="774" spans="1:4" hidden="1" x14ac:dyDescent="0.35">
      <c r="A774"/>
      <c r="D774"/>
    </row>
    <row r="775" spans="1:4" hidden="1" x14ac:dyDescent="0.35">
      <c r="A775"/>
      <c r="D775"/>
    </row>
    <row r="776" spans="1:4" hidden="1" x14ac:dyDescent="0.35">
      <c r="A776"/>
      <c r="D776"/>
    </row>
    <row r="780" spans="1:4" hidden="1" x14ac:dyDescent="0.35">
      <c r="A780"/>
      <c r="D780"/>
    </row>
    <row r="782" spans="1:4" hidden="1" x14ac:dyDescent="0.35">
      <c r="A782"/>
      <c r="D782"/>
    </row>
    <row r="783" spans="1:4" hidden="1" x14ac:dyDescent="0.35">
      <c r="A783"/>
      <c r="D783"/>
    </row>
    <row r="784" spans="1:4" hidden="1" x14ac:dyDescent="0.35">
      <c r="A784"/>
      <c r="D784"/>
    </row>
    <row r="785" spans="1:4" hidden="1" x14ac:dyDescent="0.35">
      <c r="A785"/>
      <c r="D785"/>
    </row>
    <row r="786" spans="1:4" hidden="1" x14ac:dyDescent="0.35">
      <c r="A786"/>
      <c r="D786"/>
    </row>
    <row r="787" spans="1:4" hidden="1" x14ac:dyDescent="0.35">
      <c r="A787"/>
      <c r="D787"/>
    </row>
    <row r="788" spans="1:4" hidden="1" x14ac:dyDescent="0.35">
      <c r="A788"/>
      <c r="D788"/>
    </row>
    <row r="790" spans="1:4" hidden="1" x14ac:dyDescent="0.35">
      <c r="A790"/>
      <c r="D790"/>
    </row>
    <row r="792" spans="1:4" hidden="1" x14ac:dyDescent="0.35">
      <c r="A792"/>
      <c r="D792"/>
    </row>
    <row r="795" spans="1:4" hidden="1" x14ac:dyDescent="0.35">
      <c r="A795"/>
      <c r="D795"/>
    </row>
    <row r="796" spans="1:4" hidden="1" x14ac:dyDescent="0.35">
      <c r="A796"/>
      <c r="D796"/>
    </row>
    <row r="799" spans="1:4" hidden="1" x14ac:dyDescent="0.35">
      <c r="A799"/>
      <c r="D799"/>
    </row>
    <row r="800" spans="1:4" hidden="1" x14ac:dyDescent="0.35">
      <c r="A800"/>
      <c r="D800"/>
    </row>
    <row r="803" spans="1:4" hidden="1" x14ac:dyDescent="0.35">
      <c r="A803"/>
      <c r="D803"/>
    </row>
    <row r="804" spans="1:4" hidden="1" x14ac:dyDescent="0.35">
      <c r="A804"/>
      <c r="D804"/>
    </row>
    <row r="805" spans="1:4" hidden="1" x14ac:dyDescent="0.35">
      <c r="A805"/>
      <c r="D805"/>
    </row>
    <row r="806" spans="1:4" hidden="1" x14ac:dyDescent="0.35">
      <c r="A806"/>
      <c r="D806"/>
    </row>
    <row r="808" spans="1:4" hidden="1" x14ac:dyDescent="0.35">
      <c r="A808"/>
      <c r="D808"/>
    </row>
    <row r="809" spans="1:4" hidden="1" x14ac:dyDescent="0.35">
      <c r="A809"/>
      <c r="D809"/>
    </row>
    <row r="812" spans="1:4" hidden="1" x14ac:dyDescent="0.35">
      <c r="A812"/>
      <c r="D812"/>
    </row>
    <row r="814" spans="1:4" hidden="1" x14ac:dyDescent="0.35">
      <c r="A814"/>
      <c r="D814"/>
    </row>
    <row r="815" spans="1:4" hidden="1" x14ac:dyDescent="0.35">
      <c r="A815"/>
      <c r="D815"/>
    </row>
    <row r="817" spans="1:4" hidden="1" x14ac:dyDescent="0.35">
      <c r="A817"/>
      <c r="D817"/>
    </row>
    <row r="818" spans="1:4" hidden="1" x14ac:dyDescent="0.35">
      <c r="A818"/>
      <c r="D818"/>
    </row>
    <row r="819" spans="1:4" hidden="1" x14ac:dyDescent="0.35">
      <c r="A819"/>
      <c r="D819"/>
    </row>
    <row r="820" spans="1:4" hidden="1" x14ac:dyDescent="0.35">
      <c r="A820"/>
      <c r="D820"/>
    </row>
    <row r="822" spans="1:4" hidden="1" x14ac:dyDescent="0.35">
      <c r="A822"/>
      <c r="D822"/>
    </row>
    <row r="823" spans="1:4" hidden="1" x14ac:dyDescent="0.35">
      <c r="A823"/>
      <c r="D823"/>
    </row>
    <row r="824" spans="1:4" hidden="1" x14ac:dyDescent="0.35">
      <c r="A824"/>
      <c r="D824"/>
    </row>
    <row r="825" spans="1:4" hidden="1" x14ac:dyDescent="0.35">
      <c r="A825"/>
      <c r="D825"/>
    </row>
    <row r="826" spans="1:4" hidden="1" x14ac:dyDescent="0.35">
      <c r="A826"/>
      <c r="D826"/>
    </row>
    <row r="827" spans="1:4" hidden="1" x14ac:dyDescent="0.35">
      <c r="A827"/>
      <c r="D827"/>
    </row>
    <row r="828" spans="1:4" hidden="1" x14ac:dyDescent="0.35">
      <c r="A828"/>
      <c r="D828"/>
    </row>
    <row r="829" spans="1:4" hidden="1" x14ac:dyDescent="0.35">
      <c r="A829"/>
      <c r="D829"/>
    </row>
    <row r="833" spans="1:4" hidden="1" x14ac:dyDescent="0.35">
      <c r="A833"/>
      <c r="D833"/>
    </row>
    <row r="834" spans="1:4" hidden="1" x14ac:dyDescent="0.35">
      <c r="A834"/>
      <c r="D834"/>
    </row>
    <row r="835" spans="1:4" hidden="1" x14ac:dyDescent="0.35">
      <c r="A835"/>
      <c r="D835"/>
    </row>
    <row r="836" spans="1:4" hidden="1" x14ac:dyDescent="0.35">
      <c r="A836"/>
      <c r="D836"/>
    </row>
    <row r="839" spans="1:4" hidden="1" x14ac:dyDescent="0.35">
      <c r="A839"/>
      <c r="D839"/>
    </row>
    <row r="840" spans="1:4" hidden="1" x14ac:dyDescent="0.35">
      <c r="A840"/>
      <c r="D840"/>
    </row>
    <row r="841" spans="1:4" hidden="1" x14ac:dyDescent="0.35">
      <c r="A841"/>
      <c r="D841"/>
    </row>
    <row r="842" spans="1:4" hidden="1" x14ac:dyDescent="0.35">
      <c r="A842"/>
      <c r="D842"/>
    </row>
    <row r="843" spans="1:4" hidden="1" x14ac:dyDescent="0.35">
      <c r="A843"/>
      <c r="D843"/>
    </row>
    <row r="844" spans="1:4" hidden="1" x14ac:dyDescent="0.35">
      <c r="A844"/>
      <c r="D844"/>
    </row>
    <row r="846" spans="1:4" hidden="1" x14ac:dyDescent="0.35">
      <c r="A846"/>
      <c r="D846"/>
    </row>
    <row r="847" spans="1:4" hidden="1" x14ac:dyDescent="0.35">
      <c r="A847"/>
      <c r="D847"/>
    </row>
    <row r="848" spans="1:4" hidden="1" x14ac:dyDescent="0.35">
      <c r="A848"/>
      <c r="D848"/>
    </row>
    <row r="849" spans="1:4" hidden="1" x14ac:dyDescent="0.35">
      <c r="A849"/>
      <c r="D849"/>
    </row>
    <row r="850" spans="1:4" hidden="1" x14ac:dyDescent="0.35">
      <c r="A850"/>
      <c r="D850"/>
    </row>
    <row r="851" spans="1:4" hidden="1" x14ac:dyDescent="0.35">
      <c r="A851"/>
      <c r="D851"/>
    </row>
    <row r="853" spans="1:4" hidden="1" x14ac:dyDescent="0.35">
      <c r="A853"/>
      <c r="D853"/>
    </row>
    <row r="855" spans="1:4" hidden="1" x14ac:dyDescent="0.35">
      <c r="A855"/>
      <c r="D855"/>
    </row>
    <row r="856" spans="1:4" hidden="1" x14ac:dyDescent="0.35">
      <c r="A856"/>
      <c r="D856"/>
    </row>
    <row r="857" spans="1:4" hidden="1" x14ac:dyDescent="0.35">
      <c r="A857"/>
      <c r="D857"/>
    </row>
    <row r="858" spans="1:4" hidden="1" x14ac:dyDescent="0.35">
      <c r="A858"/>
      <c r="D858"/>
    </row>
    <row r="859" spans="1:4" hidden="1" x14ac:dyDescent="0.35">
      <c r="A859"/>
      <c r="D859"/>
    </row>
    <row r="862" spans="1:4" hidden="1" x14ac:dyDescent="0.35">
      <c r="A862"/>
      <c r="D862"/>
    </row>
    <row r="863" spans="1:4" hidden="1" x14ac:dyDescent="0.35">
      <c r="A863"/>
      <c r="D863"/>
    </row>
    <row r="864" spans="1:4" hidden="1" x14ac:dyDescent="0.35">
      <c r="A864"/>
      <c r="D864"/>
    </row>
    <row r="865" spans="1:4" hidden="1" x14ac:dyDescent="0.35">
      <c r="A865"/>
      <c r="D865"/>
    </row>
    <row r="866" spans="1:4" hidden="1" x14ac:dyDescent="0.35">
      <c r="A866"/>
      <c r="D866"/>
    </row>
    <row r="867" spans="1:4" hidden="1" x14ac:dyDescent="0.35">
      <c r="A867"/>
      <c r="D867"/>
    </row>
    <row r="868" spans="1:4" hidden="1" x14ac:dyDescent="0.35">
      <c r="A868"/>
      <c r="D868"/>
    </row>
    <row r="869" spans="1:4" hidden="1" x14ac:dyDescent="0.35">
      <c r="A869"/>
      <c r="D869"/>
    </row>
    <row r="870" spans="1:4" hidden="1" x14ac:dyDescent="0.35">
      <c r="A870"/>
      <c r="D870"/>
    </row>
    <row r="873" spans="1:4" hidden="1" x14ac:dyDescent="0.35">
      <c r="A873"/>
      <c r="D873"/>
    </row>
    <row r="874" spans="1:4" hidden="1" x14ac:dyDescent="0.35">
      <c r="A874"/>
      <c r="D874"/>
    </row>
    <row r="875" spans="1:4" hidden="1" x14ac:dyDescent="0.35">
      <c r="A875"/>
      <c r="D875"/>
    </row>
    <row r="876" spans="1:4" hidden="1" x14ac:dyDescent="0.35">
      <c r="A876"/>
      <c r="D876"/>
    </row>
    <row r="881" spans="1:4" hidden="1" x14ac:dyDescent="0.35">
      <c r="A881"/>
      <c r="D881"/>
    </row>
    <row r="882" spans="1:4" hidden="1" x14ac:dyDescent="0.35">
      <c r="A882"/>
      <c r="D882"/>
    </row>
    <row r="884" spans="1:4" hidden="1" x14ac:dyDescent="0.35">
      <c r="A884"/>
      <c r="D884"/>
    </row>
    <row r="885" spans="1:4" hidden="1" x14ac:dyDescent="0.35">
      <c r="A885"/>
      <c r="D885"/>
    </row>
    <row r="887" spans="1:4" hidden="1" x14ac:dyDescent="0.35">
      <c r="A887"/>
      <c r="D887"/>
    </row>
    <row r="890" spans="1:4" hidden="1" x14ac:dyDescent="0.35">
      <c r="A890"/>
      <c r="D890"/>
    </row>
    <row r="891" spans="1:4" hidden="1" x14ac:dyDescent="0.35">
      <c r="A891"/>
      <c r="D891"/>
    </row>
    <row r="892" spans="1:4" hidden="1" x14ac:dyDescent="0.35">
      <c r="A892"/>
      <c r="D892"/>
    </row>
    <row r="893" spans="1:4" hidden="1" x14ac:dyDescent="0.35">
      <c r="A893"/>
      <c r="D893"/>
    </row>
    <row r="894" spans="1:4" hidden="1" x14ac:dyDescent="0.35">
      <c r="A894"/>
      <c r="D894"/>
    </row>
    <row r="895" spans="1:4" hidden="1" x14ac:dyDescent="0.35">
      <c r="A895"/>
      <c r="D895"/>
    </row>
    <row r="896" spans="1:4" hidden="1" x14ac:dyDescent="0.35">
      <c r="A896"/>
      <c r="D896"/>
    </row>
    <row r="898" spans="1:4" hidden="1" x14ac:dyDescent="0.35">
      <c r="A898"/>
      <c r="D898"/>
    </row>
    <row r="901" spans="1:4" hidden="1" x14ac:dyDescent="0.35">
      <c r="A901"/>
      <c r="D901"/>
    </row>
    <row r="903" spans="1:4" hidden="1" x14ac:dyDescent="0.35">
      <c r="A903"/>
      <c r="D903"/>
    </row>
    <row r="904" spans="1:4" hidden="1" x14ac:dyDescent="0.35">
      <c r="A904"/>
      <c r="D904"/>
    </row>
    <row r="905" spans="1:4" hidden="1" x14ac:dyDescent="0.35">
      <c r="A905"/>
      <c r="D905"/>
    </row>
    <row r="907" spans="1:4" hidden="1" x14ac:dyDescent="0.35">
      <c r="A907"/>
      <c r="D907"/>
    </row>
    <row r="908" spans="1:4" hidden="1" x14ac:dyDescent="0.35">
      <c r="A908"/>
      <c r="D908"/>
    </row>
    <row r="910" spans="1:4" hidden="1" x14ac:dyDescent="0.35">
      <c r="A910"/>
      <c r="D910"/>
    </row>
    <row r="911" spans="1:4" hidden="1" x14ac:dyDescent="0.35">
      <c r="A911"/>
      <c r="D911"/>
    </row>
    <row r="912" spans="1:4" hidden="1" x14ac:dyDescent="0.35">
      <c r="A912"/>
      <c r="D912"/>
    </row>
    <row r="913" spans="1:4" hidden="1" x14ac:dyDescent="0.35">
      <c r="A913"/>
      <c r="D913"/>
    </row>
    <row r="914" spans="1:4" hidden="1" x14ac:dyDescent="0.35">
      <c r="A914"/>
      <c r="D914"/>
    </row>
    <row r="917" spans="1:4" hidden="1" x14ac:dyDescent="0.35">
      <c r="A917"/>
      <c r="D917"/>
    </row>
    <row r="919" spans="1:4" hidden="1" x14ac:dyDescent="0.35">
      <c r="A919"/>
      <c r="D919"/>
    </row>
    <row r="920" spans="1:4" hidden="1" x14ac:dyDescent="0.35">
      <c r="A920"/>
      <c r="D920"/>
    </row>
    <row r="922" spans="1:4" hidden="1" x14ac:dyDescent="0.35">
      <c r="A922"/>
      <c r="D922"/>
    </row>
    <row r="924" spans="1:4" hidden="1" x14ac:dyDescent="0.35">
      <c r="A924"/>
      <c r="D924"/>
    </row>
    <row r="925" spans="1:4" hidden="1" x14ac:dyDescent="0.35">
      <c r="A925"/>
      <c r="D925"/>
    </row>
    <row r="926" spans="1:4" hidden="1" x14ac:dyDescent="0.35">
      <c r="A926"/>
      <c r="D926"/>
    </row>
    <row r="927" spans="1:4" hidden="1" x14ac:dyDescent="0.35">
      <c r="A927"/>
      <c r="D927"/>
    </row>
    <row r="930" spans="1:4" hidden="1" x14ac:dyDescent="0.35">
      <c r="A930"/>
      <c r="D930"/>
    </row>
    <row r="931" spans="1:4" hidden="1" x14ac:dyDescent="0.35">
      <c r="A931"/>
      <c r="D931"/>
    </row>
    <row r="932" spans="1:4" hidden="1" x14ac:dyDescent="0.35">
      <c r="A932"/>
      <c r="D932"/>
    </row>
    <row r="934" spans="1:4" hidden="1" x14ac:dyDescent="0.35">
      <c r="A934"/>
      <c r="D934"/>
    </row>
    <row r="935" spans="1:4" hidden="1" x14ac:dyDescent="0.35">
      <c r="A935"/>
      <c r="D935"/>
    </row>
    <row r="936" spans="1:4" hidden="1" x14ac:dyDescent="0.35">
      <c r="A936"/>
      <c r="D936"/>
    </row>
    <row r="937" spans="1:4" hidden="1" x14ac:dyDescent="0.35">
      <c r="A937"/>
      <c r="D937"/>
    </row>
    <row r="939" spans="1:4" hidden="1" x14ac:dyDescent="0.35">
      <c r="A939"/>
      <c r="D939"/>
    </row>
    <row r="940" spans="1:4" hidden="1" x14ac:dyDescent="0.35">
      <c r="A940"/>
      <c r="D940"/>
    </row>
    <row r="942" spans="1:4" hidden="1" x14ac:dyDescent="0.35">
      <c r="A942"/>
      <c r="D942"/>
    </row>
    <row r="945" spans="1:4" hidden="1" x14ac:dyDescent="0.35">
      <c r="A945"/>
      <c r="D945"/>
    </row>
    <row r="950" spans="1:4" hidden="1" x14ac:dyDescent="0.35">
      <c r="A950"/>
      <c r="D950"/>
    </row>
    <row r="951" spans="1:4" hidden="1" x14ac:dyDescent="0.35">
      <c r="A951"/>
      <c r="D951"/>
    </row>
    <row r="953" spans="1:4" hidden="1" x14ac:dyDescent="0.35">
      <c r="A953"/>
      <c r="D953"/>
    </row>
    <row r="954" spans="1:4" hidden="1" x14ac:dyDescent="0.35">
      <c r="A954"/>
      <c r="D954"/>
    </row>
    <row r="956" spans="1:4" hidden="1" x14ac:dyDescent="0.35">
      <c r="A956"/>
      <c r="D956"/>
    </row>
    <row r="957" spans="1:4" hidden="1" x14ac:dyDescent="0.35">
      <c r="A957"/>
      <c r="D957"/>
    </row>
    <row r="959" spans="1:4" hidden="1" x14ac:dyDescent="0.35">
      <c r="A959"/>
      <c r="D959"/>
    </row>
    <row r="960" spans="1:4" hidden="1" x14ac:dyDescent="0.35">
      <c r="A960"/>
      <c r="D960"/>
    </row>
    <row r="963" spans="1:4" hidden="1" x14ac:dyDescent="0.35">
      <c r="A963"/>
      <c r="D963"/>
    </row>
    <row r="964" spans="1:4" hidden="1" x14ac:dyDescent="0.35">
      <c r="A964"/>
      <c r="D964"/>
    </row>
    <row r="966" spans="1:4" hidden="1" x14ac:dyDescent="0.35">
      <c r="A966"/>
      <c r="D966"/>
    </row>
    <row r="967" spans="1:4" hidden="1" x14ac:dyDescent="0.35">
      <c r="A967"/>
      <c r="D967"/>
    </row>
    <row r="968" spans="1:4" hidden="1" x14ac:dyDescent="0.35">
      <c r="A968"/>
      <c r="D968"/>
    </row>
    <row r="969" spans="1:4" hidden="1" x14ac:dyDescent="0.35">
      <c r="A969"/>
      <c r="D969"/>
    </row>
    <row r="970" spans="1:4" hidden="1" x14ac:dyDescent="0.35">
      <c r="A970"/>
      <c r="D970"/>
    </row>
    <row r="971" spans="1:4" hidden="1" x14ac:dyDescent="0.35">
      <c r="A971"/>
      <c r="D971"/>
    </row>
    <row r="974" spans="1:4" hidden="1" x14ac:dyDescent="0.35">
      <c r="A974"/>
      <c r="D974"/>
    </row>
    <row r="976" spans="1:4" hidden="1" x14ac:dyDescent="0.35">
      <c r="A976"/>
      <c r="D976"/>
    </row>
    <row r="977" spans="1:4" hidden="1" x14ac:dyDescent="0.35">
      <c r="A977"/>
      <c r="D977"/>
    </row>
    <row r="978" spans="1:4" hidden="1" x14ac:dyDescent="0.35">
      <c r="A978"/>
      <c r="D978"/>
    </row>
    <row r="980" spans="1:4" hidden="1" x14ac:dyDescent="0.35">
      <c r="A980"/>
      <c r="D980"/>
    </row>
    <row r="981" spans="1:4" hidden="1" x14ac:dyDescent="0.35">
      <c r="A981"/>
      <c r="D981"/>
    </row>
    <row r="983" spans="1:4" hidden="1" x14ac:dyDescent="0.35">
      <c r="A983"/>
      <c r="D983"/>
    </row>
    <row r="985" spans="1:4" hidden="1" x14ac:dyDescent="0.35">
      <c r="A985"/>
      <c r="D985"/>
    </row>
    <row r="986" spans="1:4" hidden="1" x14ac:dyDescent="0.35">
      <c r="A986"/>
      <c r="D986"/>
    </row>
    <row r="989" spans="1:4" hidden="1" x14ac:dyDescent="0.35">
      <c r="A989"/>
      <c r="D989"/>
    </row>
    <row r="991" spans="1:4" hidden="1" x14ac:dyDescent="0.35">
      <c r="A991"/>
      <c r="D991"/>
    </row>
    <row r="993" spans="1:4" hidden="1" x14ac:dyDescent="0.35">
      <c r="A993"/>
      <c r="D993"/>
    </row>
    <row r="994" spans="1:4" hidden="1" x14ac:dyDescent="0.35">
      <c r="A994"/>
      <c r="D994"/>
    </row>
    <row r="995" spans="1:4" hidden="1" x14ac:dyDescent="0.35">
      <c r="A995"/>
      <c r="D995"/>
    </row>
    <row r="997" spans="1:4" hidden="1" x14ac:dyDescent="0.35">
      <c r="A997"/>
      <c r="D997"/>
    </row>
    <row r="999" spans="1:4" hidden="1" x14ac:dyDescent="0.35">
      <c r="A999"/>
      <c r="D999"/>
    </row>
    <row r="1001" spans="1:4" hidden="1" x14ac:dyDescent="0.35">
      <c r="A1001"/>
      <c r="D1001"/>
    </row>
  </sheetData>
  <conditionalFormatting sqref="D2:D365 A2:A566">
    <cfRule type="expression" dxfId="3" priority="1">
      <formula>#REF!="live"</formula>
    </cfRule>
    <cfRule type="expression" dxfId="2" priority="2">
      <formula>#REF!="canceled"</formula>
    </cfRule>
    <cfRule type="expression" dxfId="1" priority="3">
      <formula>#REF!="failed"</formula>
    </cfRule>
    <cfRule type="expression" dxfId="0" priority="4">
      <formula>#REF!="successful"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Status Based on Category</vt:lpstr>
      <vt:lpstr>Status Based on Sub-Category</vt:lpstr>
      <vt:lpstr>Status Based on Date Created</vt:lpstr>
      <vt:lpstr>Bonus </vt:lpstr>
      <vt:lpstr>Bonus (Part 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Natalie Lollin</cp:lastModifiedBy>
  <dcterms:created xsi:type="dcterms:W3CDTF">2021-09-29T18:52:28Z</dcterms:created>
  <dcterms:modified xsi:type="dcterms:W3CDTF">2023-02-25T18:12:44Z</dcterms:modified>
</cp:coreProperties>
</file>